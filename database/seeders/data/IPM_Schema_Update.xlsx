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nutrastat.sharepoint.com/sites/ART/Shared Documents/"/>
    </mc:Choice>
  </mc:AlternateContent>
  <xr:revisionPtr revIDLastSave="16" documentId="8_{EAA260C9-9F23-45F6-B54B-2E7D2734DFE4}" xr6:coauthVersionLast="47" xr6:coauthVersionMax="47" xr10:uidLastSave="{8901D3E4-5B01-4D40-8B7B-B40B0E8AF015}"/>
  <bookViews>
    <workbookView xWindow="-98" yWindow="-98" windowWidth="28996" windowHeight="15675" firstSheet="1" activeTab="1" xr2:uid="{9F292FF2-07D5-4F4B-8D94-D4CDF99F1A76}"/>
  </bookViews>
  <sheets>
    <sheet name="Config" sheetId="3" state="hidden" r:id="rId1"/>
    <sheet name="Data" sheetId="1" r:id="rId2"/>
    <sheet name="Report" sheetId="4" r:id="rId3"/>
  </sheets>
  <definedNames>
    <definedName name="Array_All_Data">Data!$A$2:$S$360</definedName>
    <definedName name="List_Criteria">Config!$A$2:$A$6</definedName>
    <definedName name="List_H_Headings">Table2[[#Headers],[Short_Code]:[Category]]</definedName>
    <definedName name="List_Short_Codes">Data!$A$2:$A$360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3" i="4" l="1"/>
  <c r="I4" i="4"/>
  <c r="I5" i="4"/>
  <c r="I2" i="4"/>
  <c r="H3" i="4"/>
  <c r="H4" i="4"/>
  <c r="H5" i="4"/>
  <c r="H2" i="4"/>
  <c r="G3" i="4"/>
  <c r="G4" i="4"/>
  <c r="G5" i="4"/>
  <c r="G2" i="4"/>
  <c r="F3" i="4"/>
  <c r="F4" i="4"/>
  <c r="F5" i="4"/>
  <c r="F2" i="4"/>
  <c r="E3" i="4"/>
  <c r="E4" i="4"/>
  <c r="E5" i="4"/>
  <c r="E2" i="4"/>
  <c r="D3" i="4"/>
  <c r="D4" i="4"/>
  <c r="D5" i="4"/>
  <c r="D2" i="4"/>
  <c r="C3" i="4"/>
  <c r="C4" i="4"/>
  <c r="C5" i="4"/>
  <c r="C2" i="4"/>
  <c r="B3" i="4"/>
  <c r="B4" i="4"/>
  <c r="B5" i="4"/>
  <c r="B2" i="4"/>
</calcChain>
</file>

<file path=xl/sharedStrings.xml><?xml version="1.0" encoding="utf-8"?>
<sst xmlns="http://schemas.openxmlformats.org/spreadsheetml/2006/main" count="4442" uniqueCount="1663">
  <si>
    <t>Point_Loss</t>
  </si>
  <si>
    <t>Responsibility</t>
  </si>
  <si>
    <t>Consultant</t>
  </si>
  <si>
    <t>Title</t>
  </si>
  <si>
    <t>Category</t>
  </si>
  <si>
    <t>IPM Documentation</t>
  </si>
  <si>
    <t>Heading</t>
  </si>
  <si>
    <t>Documentation Availability</t>
  </si>
  <si>
    <t>Hardcopy</t>
  </si>
  <si>
    <t>Yes</t>
  </si>
  <si>
    <t>Electronic</t>
  </si>
  <si>
    <t>No</t>
  </si>
  <si>
    <t>Hardcopy Folder: Completed Logs</t>
  </si>
  <si>
    <t>Dashboard</t>
  </si>
  <si>
    <t>The IPM Log Dashboard and relevant activity were filed and available for external Public Health Inspectors.</t>
  </si>
  <si>
    <t>TCC Log</t>
  </si>
  <si>
    <t>The Total Cockroach Clearance log and plan were correctly completed and available for review.</t>
  </si>
  <si>
    <t>TRC Log</t>
  </si>
  <si>
    <t>The Total Rodent Clearance log and plan were correctly completed and available for review.</t>
  </si>
  <si>
    <t>Title Pages</t>
  </si>
  <si>
    <t>The most current folder spines and title pages were in use.</t>
  </si>
  <si>
    <t>Expired Documents</t>
  </si>
  <si>
    <t>There are no expired documents filed within the documentation.</t>
  </si>
  <si>
    <t>Training</t>
  </si>
  <si>
    <t>Consultant Certificates</t>
  </si>
  <si>
    <t>All Nutrastat Consultant certificates were available.</t>
  </si>
  <si>
    <t>IPM Plan Management</t>
  </si>
  <si>
    <t>All IPM Plan Management certificates and registration forms available for viewing.</t>
  </si>
  <si>
    <t>IPM Departmental Responsibility</t>
  </si>
  <si>
    <t>All IPM Departmental Responsibilities certificates and registration forms available for viewing.</t>
  </si>
  <si>
    <t>IPM Certified Applicator</t>
  </si>
  <si>
    <t>All IPM Certified Applicator certificates and registration forms available for viewing.</t>
  </si>
  <si>
    <t>All Bedbug Management Procedures registration forms available for viewing.</t>
  </si>
  <si>
    <t>Housekeeping Pest Awareness</t>
  </si>
  <si>
    <t>All Housekeeping Pest Awareness registration forms available for viewing.</t>
  </si>
  <si>
    <t>Deck Department Responsibilities</t>
  </si>
  <si>
    <t>All Deck Department Responsibilities registration forms available for viewing.</t>
  </si>
  <si>
    <t>Deliveries Responsibilities</t>
  </si>
  <si>
    <t>All Deliveries Responsibilities registration forms available for viewing.</t>
  </si>
  <si>
    <t>All Crew Pest Awareness</t>
  </si>
  <si>
    <t>All Crew Pest Awareness attendance photo documents available for viewing.</t>
  </si>
  <si>
    <t>Closing Meeting</t>
  </si>
  <si>
    <t>Closing Meeting registration forms available for viewing.</t>
  </si>
  <si>
    <t>Bedbug Logs</t>
  </si>
  <si>
    <t>The Bedbug logs are complete and available for external Public Health Inspectors.</t>
  </si>
  <si>
    <t>Bedbug Log Location</t>
  </si>
  <si>
    <t>Officer and Crew Inspection Sheet</t>
  </si>
  <si>
    <t>12 months’ worth of Officer and Crew cabin inspection sheets available for viewing.</t>
  </si>
  <si>
    <t>Cabin Steward Training</t>
  </si>
  <si>
    <t>Cabin steward training documents available for viewing.</t>
  </si>
  <si>
    <t>Cabin Steward Logs</t>
  </si>
  <si>
    <t>12 months’ worth of passenger cabin inspection sheets available for viewing.</t>
  </si>
  <si>
    <t>Management Folder</t>
  </si>
  <si>
    <t>The management hardcopy folder is complete and available for external Public Health Inspectors.</t>
  </si>
  <si>
    <t>Audit Certificate</t>
  </si>
  <si>
    <t>The last 3 years of Audit Certificates are available in the management hardcopy folder.</t>
  </si>
  <si>
    <t>A valid Ship Sanitation Certificate is available for external Public Health Inspectors.</t>
  </si>
  <si>
    <t>Advisories</t>
  </si>
  <si>
    <t>Nutrastat advisories are available for viewing.</t>
  </si>
  <si>
    <t>Treatment Checklists</t>
  </si>
  <si>
    <t>The last year’s worth of pre-treatment checklists is available for viewing.</t>
  </si>
  <si>
    <t>Unknown Pest IDs</t>
  </si>
  <si>
    <t>The last year’s worth of Unknown Pest IDs is available for viewing.</t>
  </si>
  <si>
    <t>Safety Data Sheets Availability</t>
  </si>
  <si>
    <t>Safety Data Sheets</t>
  </si>
  <si>
    <t>Current Safety Data Sheets were available in the hardcopy folder for external Public Health Inspectors.</t>
  </si>
  <si>
    <t>Out/In IPM Store</t>
  </si>
  <si>
    <t>Current Safety Data Sheets were available inside or outside the IPM Store.</t>
  </si>
  <si>
    <t>Medical</t>
  </si>
  <si>
    <t>Current Safety Data Sheets were available in the Medical Centre.</t>
  </si>
  <si>
    <t>Electronic Folders</t>
  </si>
  <si>
    <t>Update</t>
  </si>
  <si>
    <t>During the audit, all Nutrastat electronic folders were updated.</t>
  </si>
  <si>
    <t>Location</t>
  </si>
  <si>
    <t>The Current IPM Log folder is located within the Nutrastat IPM folder on a shared drive.</t>
  </si>
  <si>
    <t>The current IPM Log folder is not located within the Nutrastat IPM folder on the shared drive, which may result in restricted access, version control issues, reduced visibility, and potential non-compliance due to documents not being readily available or centrally managed.</t>
  </si>
  <si>
    <t>Log Folder</t>
  </si>
  <si>
    <t>The IPM Log folders were complete and available for external Public Health Inspectors.</t>
  </si>
  <si>
    <t>Current Log</t>
  </si>
  <si>
    <t>The current IPM Log was complete and available for external Public Health Inspectors.</t>
  </si>
  <si>
    <t>Inspections</t>
  </si>
  <si>
    <t>Log Maintained</t>
  </si>
  <si>
    <t>The current IPM Log is being maintained, and it is not post-dated.</t>
  </si>
  <si>
    <t>Log Up to date</t>
  </si>
  <si>
    <t>The IPM Log was kept up to date.</t>
  </si>
  <si>
    <t>Log Updates</t>
  </si>
  <si>
    <t>Log trap information matches the positions around the ship.</t>
  </si>
  <si>
    <t>Log Electric Fly Killer</t>
  </si>
  <si>
    <t>The Electric Fly Killer maintenance log was kept up to date and correctly completed.</t>
  </si>
  <si>
    <t>Active Ins. Time</t>
  </si>
  <si>
    <t>Active Ins. Pest</t>
  </si>
  <si>
    <t>Deliveries Time</t>
  </si>
  <si>
    <t>Delivery Generic</t>
  </si>
  <si>
    <t>Treatment Time</t>
  </si>
  <si>
    <t>Treatment Follow Up</t>
  </si>
  <si>
    <t>Active Inspection and Treatment details are accurately entered, and all treatments are being followed up.</t>
  </si>
  <si>
    <t>The Current IPM Plan folder is situated within the Nutrastat IPM folder on a shared drive.</t>
  </si>
  <si>
    <t>The current IPM Plan folder is not located within the Nutrastat IPM folder on the shared drive, which may result in restricted access, version control issues, reduced visibility, and potential non-compliance due to documents not being readily available or centrally managed.</t>
  </si>
  <si>
    <t>IPM Plan Folder</t>
  </si>
  <si>
    <t>The IPM Plan folder was complete and available for external Public Health Inspectors.</t>
  </si>
  <si>
    <t>Maintained</t>
  </si>
  <si>
    <t>The IPM Plan folder was complete with no additional files or folders.</t>
  </si>
  <si>
    <t>The Public Health folder is not located within the Nutrastat IPM folder on the shared drive, which may result in restricted access, version control issues, reduced visibility, and potential non-compliance because documents are not readily available or centrally managed.</t>
  </si>
  <si>
    <t>Public Health</t>
  </si>
  <si>
    <t>The Public Health folder was complete and available for external Public Health Inspectors.</t>
  </si>
  <si>
    <t>The Public Health folder was being maintained with no additional files or folders.</t>
  </si>
  <si>
    <t>The previous audit certificates were available for viewing.</t>
  </si>
  <si>
    <t>TCC Files</t>
  </si>
  <si>
    <t>Any conducted Total Cockroach Clearance onboard had files available for viewing.</t>
  </si>
  <si>
    <t>TRC Files</t>
  </si>
  <si>
    <t>Any conducted Total Rodent Clearance onboard had files available for viewing.</t>
  </si>
  <si>
    <t>Unknown Pest ID</t>
  </si>
  <si>
    <t>Unknown Pest ID requests were available for viewing.</t>
  </si>
  <si>
    <t>IPM Training Certificates</t>
  </si>
  <si>
    <t>All Crew training certificates are available for viewing.</t>
  </si>
  <si>
    <t>IPM Management folder is located on an exclusive drive or has permissions only allowing access for the PCRO + PCO.</t>
  </si>
  <si>
    <t>The IPM Electronic Management folder was complete with no additional files or folders.</t>
  </si>
  <si>
    <t>All advisories were filed and available.</t>
  </si>
  <si>
    <t>Audit Reports</t>
  </si>
  <si>
    <t>All audit reports were filed and available.</t>
  </si>
  <si>
    <t>Log Responses</t>
  </si>
  <si>
    <t>All log responses were filed and available.</t>
  </si>
  <si>
    <t>Electric Fly Killer Labels</t>
  </si>
  <si>
    <t>The current year's Electric Fly Killer labels were available to print.</t>
  </si>
  <si>
    <t>Electric Fly Killer Maintenance</t>
  </si>
  <si>
    <t>All glue boards were clearly marked with an expiry date.</t>
  </si>
  <si>
    <t>Silent Sentry Labels</t>
  </si>
  <si>
    <t>The latest Silent Sentry labels were available to print.</t>
  </si>
  <si>
    <t>The active inspection times were accurate and not rounded. (Not necessary, so should be removed)</t>
  </si>
  <si>
    <t>The active inspections contained reported pests and raised pest issues. (Not necessary, so should be removed)</t>
  </si>
  <si>
    <t>The delivery inspection times were accurate and not rounded. (Not Necessary so should be removed)</t>
  </si>
  <si>
    <t>The inspection details are free of ‘generic’ keywords (i.e., not ‘bond’, ‘dry’, or other general terms). (Not necessary, so should be removed)</t>
  </si>
  <si>
    <t>The treatment times were accurate and not rounded. (Not necessary, so should be removed)</t>
  </si>
  <si>
    <t xml:space="preserve">The Public Health folder is situated within the Nutrastat IPM folder on a shared drive. </t>
  </si>
  <si>
    <t>VSP_Description</t>
  </si>
  <si>
    <t>Total Cockroach Clearance logs and plans were not completed to the required standards. TCC requires a plan detailing where the cockroach traps have been placed.   Logs and plans provide evidence to Public Health Inspectors and demonstrate that the ship is following the correct procedures to eradicate any infestation. Please review the IPM Plan documentation:  Nutrastat IPM\Nutrastat IPM - IPM Plan\Treatments\Treatment (Cockroach)\ NRS_Treatment_Cockroach_TCC_Procedures.</t>
  </si>
  <si>
    <t>The most current folder spines and title pages were not in use.  Updated spines and title pages should be printed and used to ensure all materials are clearly identified and reflect the latest revisions.</t>
  </si>
  <si>
    <t>Expired documents were filed.  It is a requirement of the ship’s IPM Plan to maintain documentation for external Public Health Inspections. Expired documents must be removed and updated where applicable.</t>
  </si>
  <si>
    <t>Nutrastat Consultant certificates were not available. These should be available as they provide certification of Nutrastat Consultants to external Public Health Inspectors. Failure to maintain complete and accurate records can result in non-compliance.</t>
  </si>
  <si>
    <t>IPM Plan Management certificates and registration forms were not available for viewing.  These certificates should be available as they provide relevant evidence of training to external Public Health Inspectors. Certificates and registration forms must be retained for 3 years; after that, the PCO should remove any out-of-date documents from the folder. Failure to maintain complete and accurate records can result in non-compliance.</t>
  </si>
  <si>
    <t>IPM Departmental Responsibilities certificates and registration forms were not available for viewing.  These certificates should be available, as they provide relevant evidence of training to external Public Health Inspectors. Certificates and registration forms must be retained for 3 years; after that, the PCO should remove any out-of-date documents from the folder. Failure to maintain complete and accurate records can result in non-compliance.</t>
  </si>
  <si>
    <t>IPM Certified Applicator certificates and registration forms were not available for viewing.  These certificates should be available as they provide relevant evidence of training to external Public Health Inspectors. Certificates and registration forms must be retained for 3 years; after that, the PCO should remove any out-of-date documents from the folder. Failure to maintain complete and accurate records can result in non-compliance.</t>
  </si>
  <si>
    <t>Bedbug Management  Procedures</t>
  </si>
  <si>
    <t>Bedbug Management Procedures registration forms were not available for viewing.  The registration forms should be available, as they provide relevant evidence of training to external Public Health Inspectors. Registration forms must be retained for 3 years; after that, the PCO should remove any out-of-date documents from the folder. Failure to maintain complete and accurate records can result in non-compliance.</t>
  </si>
  <si>
    <t>Housekeeping Pest Awareness registration forms were not available for viewing. The registration forms should be available, as they provide relevant evidence of training to external Public Health Inspectors. Registration forms must be retained for 3 years; after that, the PCO should remove any out-of-date documents from the folder. Failure to maintain complete and accurate records can result in non-compliance.</t>
  </si>
  <si>
    <t>Deck Department Responsibilities registration forms were not available for viewing. The registration forms should be available, as they provide relevant evidence of training to external Public Health Inspectors. Registration forms must be retained for 3 years; after that, the PCO should remove any out-of-date documents from the folder. Failure to maintain complete and accurate records can result in non-compliance.</t>
  </si>
  <si>
    <t>All Deliveries Responsibilities registration forms were not available for viewing. The registration forms should be available as they provide relevant evidence of training to external Public Health Inspectors. Registration forms must be retained for 3 years; after that, the PCO should remove any out-of-date documents from the folder. Failure to maintain complete and accurate records can result in non-compliance.</t>
  </si>
  <si>
    <t>All Crew Pest Awareness attendance photo documents were not available for viewing. The attendance photo form should be available as it provides relevant evidence of training to external Public Health Inspectors. Attendance photo documents must be retained for 3 years; after that, the PCO should remove any out-of-date documents from the folder. Failure to maintain complete and accurate records can result in non-compliance.</t>
  </si>
  <si>
    <t>Closing Meeting registration forms were not available for viewing. The closing meeting registration form should be available, as it provides evidence that a closing meeting was held and that actions or next steps were discussed and agreed, where applicable. Registration forms must be retained for 3 years; after that, the PCO should remove any out-of-date documents from the folder.</t>
  </si>
  <si>
    <t>Bedbug logs were incomplete or unavailable to external Public Health Inspectors. They should be available to provide relevant evidence to Public Health Inspectors and demonstrate that the ship is following the correct procedures. The IPM Plan states they must be kept for one rolling year.</t>
  </si>
  <si>
    <t xml:space="preserve">The Housekeeping Bed Bug log is kept in the PCO’s office. </t>
  </si>
  <si>
    <t>The Housekeeping Bed Bug log is not kept in the PCO’s office but in the housekeeping office. Although the log is available, it is recommended that this folder be stored in the PCO’s office with all the other relevant documentation for Public Health Inspections.</t>
  </si>
  <si>
    <t>12 months’ worth of Officer and Crew cabin inspection sheets were not available for viewing. They should be available to provide relevant evidence to Public Health Inspectors and demonstrate that the ship is following correct procedures.</t>
  </si>
  <si>
    <t>Cabin steward training documents were not available for viewing. They should be available to provide relevant evidence to Public Health Inspectors and demonstrate that the ship is following correct procedures.</t>
  </si>
  <si>
    <t>12 months’ worth of passenger cabin inspection sheets were not available for viewing. They should be available to provide relevant evidence to Public Health Inspectors and demonstrate that the ship is following correct procedures.</t>
  </si>
  <si>
    <t xml:space="preserve">The management hardcopy folder is incomplete or unavailable to external Public Health Inspectors. The management hardcopy folder should be available to provide relevant evidence to Public Health Inspectors and demonstrate that the ship is following correct procedures.  </t>
  </si>
  <si>
    <t xml:space="preserve">The last 3 years of Audit Certificates are not available in the management hardcopy folder.  Audit certificates should be available to provide relevant evidence to Public Health Inspectors and demonstrate that the ship is following the correct procedures.  </t>
  </si>
  <si>
    <t>A valid Ship Sanitation Certificate was not filed in the management hardcopy folder. It is a requirement of the ship’s IPM Plan to have a valid copy available in the management hardcopy folder for external Public Health Inspections.</t>
  </si>
  <si>
    <t>Nutrastat advisories were not available for viewing.  Nutrastat Advisories should be available, as they provide relevant evidence to Public Health Inspectors.</t>
  </si>
  <si>
    <t>The last year’s worth of pre-treatment checklists were not available for viewing.  Failure to maintain and make previous pre-treatment checklists available may result in insufficient evidence for external Public Health Inspectors to verify that required IPM procedures have been followed.</t>
  </si>
  <si>
    <t>The last year’s worth of Unknown Pest IDs was not available for viewing. Failure to provide Unknown Pest ID documentation may result in insufficient evidence for external Public Health Inspectors, making it difficult to demonstrate that the ship is following the correct IPM procedures.</t>
  </si>
  <si>
    <t>Current Safety Data Sheets were not available in the hardcopy folder for external Public Health Inspectors.  Failure to maintain current Safety Data Sheets may prevent external Public Health Inspectors from accessing chemical safety information during inspections and from verifying that safe procedures are being conducted. The PCO must ensure the IPM Plan electronic files are up to date, then print the latest chemical Safety Data Sheets and place them in hardcopy folders in the PCO/PCRO’s office, IPM Store and Medical Centre.</t>
  </si>
  <si>
    <t>Some Safety Data Sheets were either out of date or missing. Failure to maintain current Safety Data Sheets may prevent external Public Health Inspectors from accessing chemical safety information during inspections and from verifying that safe procedures are being conducted. The PCO must ensure the IPM Plan electronic files are up to date, then print the latest chemical Safety Data Sheets and place them in hardcopy folders in the PCO/PCRO’s office, IPM Store and Medical Centre.</t>
  </si>
  <si>
    <t>Current Safety Data Sheets were not available inside or outside of the IPM Store for external Public Health Inspectors.  Failure to maintain current Safety Data Sheets may prevent external Public Health Inspectors from accessing chemical safety information during inspections and from verifying that safe procedures are being conducted. The PCO must ensure the IPM Plan electronic files are up to date, then print the latest chemical Safety Data Sheets and place them in hardcopy folders in the IPM Store.</t>
  </si>
  <si>
    <t>Current Safety Data Sheets were not available in the Medical Centre for external Public Health Inspectors.  Failure to maintain current Safety Data Sheets may prevent external Public Health Inspectors from accessing chemical safety information during inspections and from verifying that safe procedures are being conducted. The PCO must ensure the IPM Plan electronic files are up to date, then print the latest chemical Safety Data Sheets and place them in hardcopy folders in the Medical Centre.</t>
  </si>
  <si>
    <t>During the audit, it was not possible to update the Nutrastat electronic folders. A link has been provided to ensure the update can be conducted. The PCRO/PCO must ensure this is completed.</t>
  </si>
  <si>
    <t>The IPM Log folders were incomplete and/or unavailable to external Public Health Inspectors. The IPM Log folders should be saved in the Log folders, as this provides relevant evidence to Public Health Inspectors and demonstrates that the ship is following correct procedures.</t>
  </si>
  <si>
    <t>The current IPM Log was incomplete and/or unavailable to external Public Health Inspectors. The current IPM Log should be completed as this provides relevant evidence to Public Health Inspectors and demonstrates that the ship is following correct procedures.</t>
  </si>
  <si>
    <t xml:space="preserve">The current IPM Log was not being correctly maintained. IPM logs are critical evidence of pest control monitoring, and poorly maintained logs can lead to missed trends or early warning signs of infestations, delaying corrective actions. Incomplete or inaccurate records can lead to non-compliance during external Public Health Inspections. During the audit, relevant log-completion training was conducted.  Crew were also directed to the video clip training that is available on the shared drive: Nutrastat IPM \ Nutrastat IPM-IPM Plan \ Nutrastat TV (NSTV) \ IPM Log </t>
  </si>
  <si>
    <t>The IPM Log was not kept up to date. The IPM Log must be kept up to date to ensure IPM Plan compliance and meet requirements of external Public Health Inspectors. The Department Managers must input their names into the passive monitoring sheets as soon as the new log is live.</t>
  </si>
  <si>
    <t>Log trap information does not match the positions around the ship. If traps are not where the log indicates, pest activity may go undetected or be incorrectly assessed. If trap changes have been implemented, the PCO should email Nutrastat with the updated information so that the IPM Log can be updated.</t>
  </si>
  <si>
    <t>The Electric Fly Killer maintenance log was out of date and incorrectly completed. Records were missing, incomplete, and did not accurately reflect maintenance activities undertaken.  Accurate and current documentation is required to demonstrate that the unit is being routinely inspected and maintained in line with the IPM Plan. The PCO must ensure that all future maintenance activities are recorded clearly and accurately, at the time they are carried out.</t>
  </si>
  <si>
    <t>Active inspection and treatment records are not being completed accurately, and follow-up actions are not being carried out consistently.  This can lead to ineffective IPM, increased risk of infestations, potential non-compliance with standards, and lack of accountability in demonstrating that issues have been properly managed. The relevant log completion training was undertaken with relevant crew members, and the crew were also directed to the video clip training that is available on the shared drive: Nutrastat IPM \ Nutrastat IPM-IPM Plan \ Nutrastat TV (NSTV) \ IPM Log</t>
  </si>
  <si>
    <t>The IPM Plan folder was incomplete or unavailable for review by external Public Health Inspectors. This may result in reduced confidence in IPM practices and an inability to demonstrate that adequate control measures are in place.</t>
  </si>
  <si>
    <t>The electronic IPM Plan folder had not been maintained correctly with the relevant documentation. The IPM Plan folder was incomplete and contained additional, non-relevant files or folders, which may lead to confusion, reduced efficiency, potential non-compliance, and a lack of clarity in demonstrating that IPM procedures are properly documented and controlled.</t>
  </si>
  <si>
    <t>The Public Health folder was incomplete or unavailable for review by external Public Health Inspectors,  This may result in reduced confidence in IPM practices and an inability to demonstrate that adequate control measures are in place.</t>
  </si>
  <si>
    <t>The Public Health folder had not been maintained correctly with the relevant documentation. The Public Health folder was incomplete and contained additional, non-relevant files or folders, which may lead to confusion, reduced efficiency, potential non-compliance, and a lack of clarity in demonstrating that IPM procedures are properly documented and controlled.</t>
  </si>
  <si>
    <t>The previous audit certificates were not available for viewing. Previous audit certificates should be available, as they provide relevant evidence to Public Health Inspectors and demonstrate that the ship is following the correct procedures.</t>
  </si>
  <si>
    <t>Total Cockroach Clearance files were unavailable to external Public Health Inspectors. Failure to maintain and make (TCC) files available may result in insufficient evidence for external Public Health Inspectors to verify that appropriate cockroach control and clearance procedures have been completed.</t>
  </si>
  <si>
    <t>Total Rodent Clearance files were not available for viewing. Failure to maintain and make (TRC) files available may result in insufficient evidence for external Public Health Inspectors to verify that appropriate rodent control and clearance procedures have been completed.</t>
  </si>
  <si>
    <t>Unknown Pest ID requests were not available for viewing. Failure to make Unknown Pest ID files available may result in insufficient evidence for external Public Health Inspectors, making it difficult to demonstrate that the ship is following the correct IPM procedures.</t>
  </si>
  <si>
    <t>Crew training certificates were not available for review by external Public Health Inspectors. Failure to maintain training certificates and make them available may prevent external Public Health Inspectors from verifying that personnel have received the appropriate training and are competent to carry out IPM activities.</t>
  </si>
  <si>
    <t>IPM Management folder was not located on an exclusive drive. Information stored in this folder, such as Audit Reports, is highly confidential and should only be filed in the exclusive drive.   Failure to store the folder on a dedicated drive with permissions restricted to the PCRO and PCO may result in unauthorised access, modification, deletion, or sharing of sensitive information, and could compromise data integrity and confidentiality. The PCRO/PCO must ensure that the IPM Management folder is located on an exclusive drive.</t>
  </si>
  <si>
    <t>The electronic IPM Management folder had not been maintained correctly with the relevant documentation. The IPM Plan folder was incomplete and contained additional, non-relevant files or folders, which may lead to confusion, reduced efficiency, potential non-compliance, and a lack of clarity in demonstrating that IPM procedures are properly documented and controlled.</t>
  </si>
  <si>
    <t>Advisories were not filed and were not available in the Electronic IPM Management folder. Failure to retain and properly file advisories may result in the unavailability of important information.  Without access to these documents, crew may be unable to verify that identified IPM concerns, recommendations, or corrective actions have been appropriately communicated and addressed.</t>
  </si>
  <si>
    <t>Audit reports were not filed and were not available in the Electronic IPM Management folder. Failure to retain and properly file audit reports may result in the absence of evidence. Without these records, crew may be unable to verify that deficiencies have been identified, reviewed, and addressed appropriately.</t>
  </si>
  <si>
    <t>Log responses were not filed and were not available in the Electronic IPM Management folder. Failure to retain and properly file log responses may result in the absence of evidence that concerns were reviewed and responded to in a timely and appropriate manner. Without these records, crew may be unable to verify that corrective actions were implemented and monitored effectively.</t>
  </si>
  <si>
    <t>The current year's Electric Fly Killer labels were not filed or available to print in the Electronic IPM Management folder. Failure to file the current Electric Fly Killer labels, or make them available for printing, may prevent external Public Health Inspectors from verifying that monitoring devices have been correctly maintained and managed in accordance with IPM requirements.</t>
  </si>
  <si>
    <t>Glue boards were not clearly marked with an expiry date. The IPM Plan requires that glue boards are marked to demonstrate compliance with scheduled monitoring and maintenance. Expiry dates may indicate that glue boards have not been replaced as per the IPM Plan schedule.</t>
  </si>
  <si>
    <t>The latest Silent Sentry labels were not filed or available to print. Failure to file the latest Silent Sentry labels, or make them available for printing, may prevent external Public Health Inspectors from verifying that monitoring devices have been correctly maintained and managed in accordance with IPM requirements.</t>
  </si>
  <si>
    <t>Safety Data Sheets Full</t>
  </si>
  <si>
    <t>IPM Store</t>
  </si>
  <si>
    <t>Locker</t>
  </si>
  <si>
    <t>Designated</t>
  </si>
  <si>
    <t>There is a designated IPM Store for pest control items only.</t>
  </si>
  <si>
    <t>The IPM Store is not located within a food storage or food production area.</t>
  </si>
  <si>
    <t>Locked</t>
  </si>
  <si>
    <t>The IPM Store was secure and locked during the audit.</t>
  </si>
  <si>
    <t>Key Access</t>
  </si>
  <si>
    <t>Access to the IPM Store key is restricted.</t>
  </si>
  <si>
    <t>Signage</t>
  </si>
  <si>
    <t>Store Sign</t>
  </si>
  <si>
    <t>The IPM Store locker is correctly signed as an IPM Store.</t>
  </si>
  <si>
    <t>Hazardous</t>
  </si>
  <si>
    <t>There is a hazardous sign on the outside of the IPM Store door.</t>
  </si>
  <si>
    <t>Mixing Notice</t>
  </si>
  <si>
    <t>The IPM Store correctly displayed the location of the designated mixing area.</t>
  </si>
  <si>
    <t>Designated Mixing Sign</t>
  </si>
  <si>
    <t>There is a mixing sign situated in the designated mixing area.</t>
  </si>
  <si>
    <t>Restriction</t>
  </si>
  <si>
    <t>The chemical application signs are ready and available.</t>
  </si>
  <si>
    <t>Oa2ki Fact</t>
  </si>
  <si>
    <t>The Oa2ki Powder/Diatomaceous Earth Fact Sheet was available.</t>
  </si>
  <si>
    <t>Matrix</t>
  </si>
  <si>
    <t>The chemical/pest matrix notice was available.</t>
  </si>
  <si>
    <t>Laminated Signs</t>
  </si>
  <si>
    <t>Nutrastat pre-laminated signs were available for use during treatment.</t>
  </si>
  <si>
    <t>Large Sprayer</t>
  </si>
  <si>
    <t>Assembled</t>
  </si>
  <si>
    <t>All sprayers were fully assembled at the time of inspection.</t>
  </si>
  <si>
    <t>Quantities</t>
  </si>
  <si>
    <t>Large sprayer quantities were accurately detailed in the IPM log.</t>
  </si>
  <si>
    <t>The large sprayer(s) were correctly maintained.</t>
  </si>
  <si>
    <t>Lance and tip</t>
  </si>
  <si>
    <t>A lance and tip were available to service the sprayer.</t>
  </si>
  <si>
    <t>Fan Jet</t>
  </si>
  <si>
    <t>A replacement yellow fan jet tip was available to service the sprayer.</t>
  </si>
  <si>
    <t>Pre-Filter</t>
  </si>
  <si>
    <t>A replacement pre-filter for the lance-end was available to service the sprayer.</t>
  </si>
  <si>
    <t>Seal Kit</t>
  </si>
  <si>
    <t>A replacement seal kit was available for the sprayer.</t>
  </si>
  <si>
    <t>Empty</t>
  </si>
  <si>
    <t>The sprayer(s) were/was stored empty.</t>
  </si>
  <si>
    <t>Decompressed</t>
  </si>
  <si>
    <t>The sprayer(s) were/was stored depressurised.</t>
  </si>
  <si>
    <t>Hand Sprayer</t>
  </si>
  <si>
    <t>Hand sprayer quantities were accurately detailed in the IPM log.</t>
  </si>
  <si>
    <t>The hand-held sprayer(s) were being correctly maintained.</t>
  </si>
  <si>
    <t>The sprayer(s) were/was stored depressurised during the audit.</t>
  </si>
  <si>
    <t>ULV Foggers</t>
  </si>
  <si>
    <t>Fogger quantities were accurately recorded in the IPM log.</t>
  </si>
  <si>
    <t>The Fogger(s) were/was correctly maintained.</t>
  </si>
  <si>
    <t>Base</t>
  </si>
  <si>
    <t>The base was connected and available.</t>
  </si>
  <si>
    <t>Extension Cable</t>
  </si>
  <si>
    <t>A 10-15 metre extension cable is available to carry out treatments.</t>
  </si>
  <si>
    <t>Gel Gun</t>
  </si>
  <si>
    <t>The gel gun quantities were accurately detailed in the IPM log.</t>
  </si>
  <si>
    <t>The gel gun(s) were being correctly maintained.</t>
  </si>
  <si>
    <t>Needles</t>
  </si>
  <si>
    <t>There were sufficient replacement needles for the gel gun.</t>
  </si>
  <si>
    <t>Birchmeier DR5 Duster</t>
  </si>
  <si>
    <t>Manual duster quantities were accurately detailed in the IPM log.</t>
  </si>
  <si>
    <t>The manual duster was well-maintained.</t>
  </si>
  <si>
    <t>Wet</t>
  </si>
  <si>
    <t>The manual duster was dry.</t>
  </si>
  <si>
    <t>The DR5 duster(s) were/was stored depressurised during the audit.</t>
  </si>
  <si>
    <t>Electric Duster</t>
  </si>
  <si>
    <t>The quantities of electric dusters were accurately detailed in the IPM log.</t>
  </si>
  <si>
    <t>The electric duster was well maintained.</t>
  </si>
  <si>
    <t>Storage Cap</t>
  </si>
  <si>
    <t>The storage cap was on the electric duster when not in use.</t>
  </si>
  <si>
    <t>Personal Protective Equipment</t>
  </si>
  <si>
    <t>Adequate stock quantities of personal protective equipment and filters were available.</t>
  </si>
  <si>
    <t>Compliance</t>
  </si>
  <si>
    <t>The PPE standards were compliant with IPM Best Practice and the Nutrastat IPM Plan.</t>
  </si>
  <si>
    <t>The PPE was clean and well-maintained.</t>
  </si>
  <si>
    <t>Separate PPE</t>
  </si>
  <si>
    <t>The PPE is being stored separately from the chemicals to prevent contamination.</t>
  </si>
  <si>
    <t>Mask Filters</t>
  </si>
  <si>
    <t>The correct A2/P3 filters were being used.</t>
  </si>
  <si>
    <t>Expiration Date Filters</t>
  </si>
  <si>
    <t>The expiry date was clearly displayed on the mask filters.</t>
  </si>
  <si>
    <t>Installation Date Filters</t>
  </si>
  <si>
    <t xml:space="preserve">The expiry date rather than the installation date was clearly displayed on the mask filters. </t>
  </si>
  <si>
    <t>Nitrile Gloves</t>
  </si>
  <si>
    <t>Sufficient supply of Green Nitrile Gauntlet Gloves.</t>
  </si>
  <si>
    <t>Safety Goggles</t>
  </si>
  <si>
    <t>The safety goggles stored in the IPM Store provide the required protection.</t>
  </si>
  <si>
    <t>Rodent Traps and Attractant</t>
  </si>
  <si>
    <t>Adequate stock quantities were available.</t>
  </si>
  <si>
    <t>Quantities: (Mouse)</t>
  </si>
  <si>
    <t>Attractant</t>
  </si>
  <si>
    <t>There is a tube of Romax rodent attractant, and it is in date.</t>
  </si>
  <si>
    <t>Stock Levels</t>
  </si>
  <si>
    <t>Chemicals</t>
  </si>
  <si>
    <t>Chemical stock levels are being maintained in accordance with the IPM Log.</t>
  </si>
  <si>
    <t>Overstocked</t>
  </si>
  <si>
    <t>Stock levels were not overstocked.</t>
  </si>
  <si>
    <t>Labels</t>
  </si>
  <si>
    <t>Chemicals have legible manufacturer labels in English.</t>
  </si>
  <si>
    <t>Nutrastat Supplied Chemicals</t>
  </si>
  <si>
    <t>Chemicals onboard for pest control are supplied by Nutrastat, are compliant and have the required SDS available in English.</t>
  </si>
  <si>
    <t>Domestic</t>
  </si>
  <si>
    <t>The use of domestic rather than professional chemicals was not being conducted.</t>
  </si>
  <si>
    <t>Chemical Quantities</t>
  </si>
  <si>
    <t>There were no differences in the chemical levels compared with the IPM Log.</t>
  </si>
  <si>
    <t>Expired</t>
  </si>
  <si>
    <t>All chemicals were in date.</t>
  </si>
  <si>
    <t>UV Tubes</t>
  </si>
  <si>
    <t>There were sufficient Electric Fly Killer Ultraviolet (UV) tubes for all fly killers.</t>
  </si>
  <si>
    <t>Glue Boards</t>
  </si>
  <si>
    <t>There were sufficient Electric Fly Killer replacement glue boards for all fly killers.</t>
  </si>
  <si>
    <t>Silent Sentry</t>
  </si>
  <si>
    <t>Most Silent Sentry boxes were deployed across departments rather than left in the IPM Store.</t>
  </si>
  <si>
    <t>Standard Trap</t>
  </si>
  <si>
    <t>There were sufficient standard cockroach traps.</t>
  </si>
  <si>
    <t>Monitor Trap</t>
  </si>
  <si>
    <t>There were sufficient monitor cockroach traps.</t>
  </si>
  <si>
    <t>Bedbug Trap</t>
  </si>
  <si>
    <t>There were sufficient bedbug traps.</t>
  </si>
  <si>
    <t>Bedbug Trap Use</t>
  </si>
  <si>
    <t>Chemical Transportation</t>
  </si>
  <si>
    <t>Transportation Container</t>
  </si>
  <si>
    <t xml:space="preserve">A portable, coloured container labelled ‘Poison’ was available to transport chemicals. </t>
  </si>
  <si>
    <t>The sprayer(s) were/was stored empty. In the training we only teach that the large sprayer should be emptied if contains Cimetrol. If the hand sprayer is used with a fogging liquid this is okay?</t>
  </si>
  <si>
    <t>The Fogger(s) were/was stored empty. Does not need to be emptied</t>
  </si>
  <si>
    <t>Bedbug traps are not being used instead of cockroach traps. N/A to IPM Store, should be in departments</t>
  </si>
  <si>
    <t>A designated IPM Store is not available solely for pest control items. Unauthorised persons can gain access to the contents, creating potential health and safety hazards. A designated, restricted-access IPM Store must be made available.</t>
  </si>
  <si>
    <t xml:space="preserve">The IPM store is located within a food storage or food production area, creating a potential risk of contamination. The PCO must ensure that the IPM Store is relocated as soon as possible. </t>
  </si>
  <si>
    <t>The IPM Store was not secure or locked during the audit. An unlocked IPM Store allows unauthorised persons to access its contents, creating potential health and safety hazards.  The PCO must ensure that a secure area and lock are provided for the IPM Store.</t>
  </si>
  <si>
    <t>The IPM Store key is unrestricted, allowing unauthorised persons to access the IPM Store and creating potential health and safety hazards.  The PCO must ensure that access to the IPM Store key is restricted to authorised personnel only.</t>
  </si>
  <si>
    <t>The IPM Store is not signposted as an IPM Store. Without correct signage, persons may unknowingly enter an area containing hazardous substances, increasing the risk of exposure, injury, contamination, fire, or poisoning. The Nutrastat supplied sign must be displayed and can be found at the following location: Nutrastat IPM \ Nutrastat IPM-IPM Plan \ IPM Store</t>
  </si>
  <si>
    <t>A hazardous sign is not displayed on the IPM Store door. Without correct signage, persons may unknowingly enter an area containing hazardous substances, increasing the risk of exposure, injury, contamination, fire, or poisoning. The Nutrastat supplied sign must be displayed and can be found at the following location: Nutrastat IPM \ Nutrastat IPM-IPM Plan \ IPM Store</t>
  </si>
  <si>
    <t>The IPM Store did not have a notice stating where the designated mixing area was located. Without a clearly identified mixing area, hazardous substances may be handled near storage, walkways, drains, food areas, or clean equipment, potentially contaminating surfaces, equipment, watercourses, or products. The Nutrastat supplied sign must be displayed and can be found at the following location: Nutrastat IPM \ Nutrastat IPM-IPM Plan \ IPM Store</t>
  </si>
  <si>
    <t>A mixing sign is not situated in the designated mixing area. Potential cross-contamination, as Crew may mix chemicals or pesticides in unsuitable or uncontrolled areas, increasing the likelihood of spills, inhalation exposure, skin contact, or contamination. The Nutrastat supplied sign must be displayed and can be found at the following location: Nutrastat IPM \ Nutrastat IPM-IPM Plan \ IPM Store</t>
  </si>
  <si>
    <t>The Nutrastat chemical application signs were not ready or available. Potential exposure as persons may enter treated areas without knowing chemicals have been applied. Application signs can be found at the following location: Nutrastat IPM \ Nutrastat IPM-IPM Plan \ IPM Store</t>
  </si>
  <si>
    <t>The Oa2ki Powder fact sheet was not available.  Without supporting documentation, questions may be raised during inspections. The fact sheet should be printed and made available as soon as possible.</t>
  </si>
  <si>
    <t>The chemical/pest matrix was not available. Without it, Crew may lack clear guidance on approved products/treatments or equipment, leading to inconsistent practices and potential health and safety hazards. The PCO should ensure that the matrix is made available and can be found at the following location: Nutrastat IPM \ Nutrastat IPM-IPM Plan \ IPM Store</t>
  </si>
  <si>
    <t>Pre-laminated signs were not available for use during treatment.  It is recommended that the signs be readily available, as this could delay treatment processes and present health and safety risks.</t>
  </si>
  <si>
    <t>Sprayers were not fully assembled at the time of inspection. Sprayers not fully assembled may delay IPM activities. Incorrect assembly may result in leaks, pressure issues, or accidental discharge, increasing the risk of chemical exposure to operators. The PCO should ensure regular maintenance and inspection of equipment is carried out.</t>
  </si>
  <si>
    <t>Large sprayer quantities were not accurately recorded in the IPM log at the time of review. Discrepancies in the IPM log may result in non-compliance during inspections, indicating poor record-keeping practices.</t>
  </si>
  <si>
    <t>Sprayers were not maintained, clean or free from visible defects at the time of inspection. Poorly maintained or defective sprayers may leak or malfunction, increasing the risk of chemical exposure to operators. Dirty or damaged equipment can compromise spray quality, leading to improper chemical application. Lack of maintenance may result in breakdowns during use, disrupting operations and incurring additional repair costs. The PCO should ensure regular maintenance and inspection of equipment is carried out.</t>
  </si>
  <si>
    <t>The lance and tip were not available. IPM equipment must be kept in good working order, with all components present. In the absence of these, proper application cannot be achieved. The PCO should arrange stock replenishment of such items as soon as possible.</t>
  </si>
  <si>
    <t>No replacement yellow fan jet tip was available. Without a yellow fan jet tip, proper application cannot be achieved. The PCO should arrange stock replenishment for this item as soon as possible; alternatively, consider ordering a complete replacement.</t>
  </si>
  <si>
    <t>No replacement pre-filter for the lance-end was available. Without a pre-filter, proper application cannot be achieved. The PCO should arrange stock replenishment of such items as soon as possible.</t>
  </si>
  <si>
    <t>A replacement seal kit was not available for the sprayer at the time of inspection. Without a replacement seal kit, worn or damaged seals cannot be promptly replaced, increasing the likelihood of sprayer malfunction. The PCO should arrange stock replenishment of such items as soon as possible.</t>
  </si>
  <si>
    <t>The sprayer(s) were not stored empty at the time of inspection, which increases the risk of accidental exposure for operators during handling, maintenance, or transport. Prolonged storage with chemicals inside can lead to corrosion, clogging, or deterioration of internal components such as seals and nozzles. The PCO should ensure that Certified Applicators understand the maintenance requirements of such equipment.</t>
  </si>
  <si>
    <t>The sprayer(s) were not stored depressurised. Storing sprayers under pressure increases the risk of accidental discharge, which may expose operators to chemicals. Insecticide left in equipment may degrade and interfere with future treatment. Enough chemical should be mixed for the planned treatment, and more mixed if necessary. The PCO should ensure that Certified Applicators understand that they should only mix enough chemical and, after treatment, the equipment should be emptied, rinsed, and stored depressurised.</t>
  </si>
  <si>
    <t>Hand sprayer quantities were not accurately recorded in the IPM log at the time of review. Discrepancies in the IPM log may result in non-compliance during inspections, indicating poor record-keeping practices.</t>
  </si>
  <si>
    <t>Hand-held sprayers were not maintained, clean or free from visible defects at the time of inspection. Poorly maintained or defective sprayers may leak or malfunction, increasing the risk of chemical exposure to operators. Dirty or damaged equipment can compromise spray quality, leading to improper chemical application. Lack of maintenance may result in breakdowns during use, disrupting operations and incurring additional repair costs. The PCO should ensure that Certified Applicators understand the maintenance requirements of such equipment.</t>
  </si>
  <si>
    <t>The sprayer(s) were not stored depressurised at the time of inspection. Storing sprayers under pressure increases the risk of accidental discharge, which may expose operators to chemicals. The PCO should ensure that Certified Applicators understand that the equipment should be stored depressurised after use.</t>
  </si>
  <si>
    <t xml:space="preserve">Quantities </t>
  </si>
  <si>
    <t>Fogger quantities were not accurately recorded in the IPM log at the time of review. Discrepancies in the IPM log may result in non-compliances during inspections, indicating poor record-keeping practices.</t>
  </si>
  <si>
    <t>Fogger(s) were not maintained, clean or free from visible defects at the time of inspection. Poorly maintained or defective Foggers may leak or malfunction, increasing the risk of chemical exposure to operators. Dirty or damaged equipment can compromise fogging quality, leading to incorrect chemical application. Lack of maintenance may result in breakdowns during use, disrupting operations and incurring additional repair costs. The PCO should ensure that Certified Applicators understand the maintenance requirements of such equipment.</t>
  </si>
  <si>
    <t>The base was not connected and not available at the time of inspection. If the base is disconnected or unavailable, the Fogger may be unusable, leading to delays in IPM activities. The PCO should ensure that equipment is maintained and ready for use.</t>
  </si>
  <si>
    <t>Gel gun quantities were not accurately recorded in the IPM log at the time of review. Discrepancies in the IPM log may result in non-compliance during inspections, indicating poor record-keeping practices.</t>
  </si>
  <si>
    <t>Gel gun(s) were not maintained, clean or free from visible defects at the time of inspection. Poorly maintained or defective gel guns may leak or malfunction, increasing the risk of chemical exposure to operators. Dirty or damaged equipment can lead to incorrect application of chemicals. Lack of maintenance may result in breakdowns during use, disrupting operations and incurring additional repair costs. The PCO should ensure that Certified Applicators understand the maintenance requirements of such equipment.</t>
  </si>
  <si>
    <t>There were insufficient replacement needles available for the gel gun. A lack of replacement needles may reduce precision, prevent or delay gel applications, impacting pest control activities. The PCO should arrange stock replenishment of such items as soon as possible.</t>
  </si>
  <si>
    <t>Manual duster quantities were not accurately recorded in the IPM log during the review. Discrepancies in the IPM log may result in non-compliances during inspections, indicating poor record-keeping practices.</t>
  </si>
  <si>
    <t>The manual duster(s) were not maintained, clean or free from visible defects at the time of inspection. Poorly maintained or defective duster(s) may leak or malfunction, increasing the risk of chemical exposure to operators. Dirty or damaged equipment can lead to incorrect application of chemicals. Lack of maintenance may result in breakdowns during use, disrupting operations and incurring additional repair costs. The PCO should ensure that Certified Applicators understand the maintenance requirements of such equipment.</t>
  </si>
  <si>
    <t>The manual duster was not dry. A wet/damp duster can clog nozzles or internal components, impairing functionality. The PCO should ensure that Certified Applicators understand the maintenance requirements of such equipment.</t>
  </si>
  <si>
    <t>The DR5 duster(s) were not stored depressurised at the time of inspection. Storing under pressure increases the risk of accidental discharge, which may expose operators to chemicals. The PCO should ensure that Certified Applicators understand that the equipment should be depressurised after use.</t>
  </si>
  <si>
    <t>Electric duster quantities were not accurately recorded in the IPM log at the time of review. Discrepancies in the IPM log may result in non-compliances during inspections, indicating poor record-keeping practices.</t>
  </si>
  <si>
    <t>The electric duster(s) were not maintained, clean or free from visible defects at the time of inspection. Poorly maintained or defective duster(s) may leak or malfunction, increasing the risk of chemical exposure to operators. Dirty or damaged equipment can lead to incorrect application of chemicals. Lack of maintenance may result in breakdowns during use, disrupting operations and incurring additional repair costs. The PCO should ensure that Certified Applicators understand the maintenance requirements of such equipment.</t>
  </si>
  <si>
    <t>The storage cap was not on the electric duster when not in use. Uncapped equipment may allow the accidental release of dust, increasing exposure risks to operators or nearby others. The PCO should ensure that Certified Applicators understand the importance of placing the storage cap on.</t>
  </si>
  <si>
    <t>PPE quantities were not accurately recorded in the IPM log at the time of review. Discrepancies in the IPM log may result in non-compliance during inspections, indicating poor record-keeping practices. The PCO should ensure that adequate PPE stock levels are maintained.</t>
  </si>
  <si>
    <t>The PPE standards were not compliant with IPM Best Practice and the Nutrastat IPM Plan. Non-compliant PPE increases the risk of chemical exposure, posing potential harm to operators and others in the vicinity. The PCO should always ensure that Certified Applicators are using compliant PPE.</t>
  </si>
  <si>
    <t>The PPE was not clean or well-maintained. Poorly maintained PPE may fail to provide adequate protection, increasing the risk of chemical exposure, skin irritation, or inhalation hazards. Unclean PPE can transfer contaminants between areas, potentially spreading chemicals or pests. The PCO should ensure that PPE is well-maintained.</t>
  </si>
  <si>
    <t>The PPE was not being stored separately from chemicals. Storing PPE alongside chemicals may contaminate the equipment, increasing the risk of direct chemical exposure during use. The PCO should ensure that PPE is stored above or separately from chemicals.</t>
  </si>
  <si>
    <t>Incorrect mask filters were being used. The mask filters do not display A2/P3 on the filter cartridge and therefore do not meet the required A2/P3 minimum level of protection.  Incorrect filters do not provide sufficient protection for Certified Applicators during IPM treatments. Incorrect filters should be removed from the IPM Store and clearly marked “Not for IPM/Pest Control use”.</t>
  </si>
  <si>
    <t>The expiry date was not clearly displayed on the mask filters. Without this, the user cannot be certain they will receive sufficient filter protection. The P3 filter should be fitted to the A2 housing and the expiry date (six months from the date the filters were opened) should be detailed on the A2 housing. The importance of detailing the expiration date on the filter to avoid confusion about when to change it was discussed during training. To avoid confusion between European and American date formats, the month should be written using the first 3 letters of the month (i.e., 05 DEC 2026).</t>
  </si>
  <si>
    <t>The installation date, instead of the expiry date, was displayed on the mask filters. Without this, the user cannot be certain they will receive sufficient filter protection. The P3 filter should be fitted to the A2 housing and the expiry date (six months from the date the filters were opened) should be detailed on the A2 housing. The importance of writing the expiration date on the filter to avoid confusion about when to change it was discussed during training. To avoid confusion between European and American date formats, the month should be written using the first 3 letters of the month (i.e., 05 DEC 2026).</t>
  </si>
  <si>
    <t>Insufficient supply of Green Nitrile Gauntlet Gloves. The Green Nitrile Gauntlet Gloves provide the appropriate protection for applying IPM treatments. A stock requisition should be completed as soon as possible.</t>
  </si>
  <si>
    <t>The safety goggles stored in the IPM Store do not provide the required protection. Safety goggles should have a seal around the eyes to provide splash protection from liquids and powders. The PCO should source alternative safety goggles as without the appropriate PPE, treatments must not be carried out.</t>
  </si>
  <si>
    <t xml:space="preserve">Quantities: (Rat) </t>
  </si>
  <si>
    <t>Adequate stock quantities were not available. Insufficient stock may delay or prevent IPM activities from being carried out and may increase the risk of pest activity escalating. The PCO should ensure that adequate stock levels are maintained.</t>
  </si>
  <si>
    <t>There was no tube of Romax rodent attractant available. The absence of an attractant or the use of an out-of-date product may significantly reduce the effectiveness of rodent control measures and lead to prolonged or escalating rodent infestations. The PCO should ensure that adequate stock levels are maintained.</t>
  </si>
  <si>
    <t>Adequate stock quantities were not available. Insufficient stock may delay or prevent IPM activities from being carried out and may increase the risk of pest activity escalating. Urgent or last-minute procurement may lead to higher costs, including expedited delivery charges. The PCO should ensure that adequate stock levels are maintained.</t>
  </si>
  <si>
    <t>Stock levels were high and are much higher than recommended. Overstocking will result in chemicals expiring before being used and having to be disposed of via an approved disposal agent. Stock levels should be maintained at the recommended levels, plus what is likely to be used until the next order.</t>
  </si>
  <si>
    <t>Chemical labels were either not in English or illegible. Illegible or missing labels may prevent users from identifying hazards, leading to improper handling and increased risk of exposure. In the event of a spill or exposure, the lack of readable labels can delay appropriate first aid or emergency measures. The PCO should ensure that regular checks for this are carried out.</t>
  </si>
  <si>
    <t>Chemicals onboard for pest control were not compliant because they were not solely Nutrastat-supplied. Use of non-Nutrastat-supplied chemicals may result in the absence of SDS documentation.  Without compliant chemicals and accessible SDS, users may lack critical information on hazards, safe handling, and emergency procedures, increasing the risk of injury or exposure. The PCO must ensure that only approved Nutrastat chemicals are being used.</t>
  </si>
  <si>
    <t xml:space="preserve">No </t>
  </si>
  <si>
    <t>Domestic rather than professional chemical products were being used. Not only is this non-compliant, but this may result in the absence of SDS documentation, leading to potential health and safety compliance issues. The PCO must ensure that only approved Nutrastat chemicals are being used.</t>
  </si>
  <si>
    <t>Chemical quantities were not accurately recorded in the IPM log. Discrepancies in the IPM Stock log may result in non-compliances during inspections, indicating poor record-keeping practices. The PCO must adopt good stock-keeping procedures to ensure accurate recording in the log.</t>
  </si>
  <si>
    <t>Equipment quantities were not accurately recorded in the IPM log. Discrepancies in the IPM Equipment log may result in non-compliances during inspections, indicating poor record-keeping practices. Inaccurate stock level information may also result in under- or over-ordering.</t>
  </si>
  <si>
    <t>Some chemicals had expired. Expired chemicals must not be used, as per the product label, as they may have reduced efficacy and could lead to action being taken by Public Health authorities. Expired items should be segregated and marked for disposal (suitable signage is available in the Nutrastat Reference Sheets) and must be offloaded via an approved disposal agent.</t>
  </si>
  <si>
    <t>There were not enough Electric Fly Killer Ultraviolet (UV) tubes for all units. Insufficient UV tubes may impair fly killers' ability to attract and control flying insects effectively. The PCO should ensure that adequate stock levels for UV tubes are maintained.</t>
  </si>
  <si>
    <t>There were insufficient replacement glue boards for the Electric Fly Killer. Insufficient glue boards may prevent fly killers from capturing insects, significantly reducing their effectiveness and allowing flying insect populations to increase.  The PCO should ensure that adequate stock levels for Glue Boards are maintained.</t>
  </si>
  <si>
    <t>Most Silent Sentry boxes were not deployed across departments. Without adequate placement of units, early warning signs may be missed, allowing infestations to develop unchecked. The PCO should arrange deployment of Silent Sentries.</t>
  </si>
  <si>
    <t>There were insufficient standard cockroach traps available. Insufficient traps may limit the ability to monitor effectively and result in slower identification of infestation, delaying corrective action. The PCO should ensure that adequate stock levels for Standard traps are maintained.</t>
  </si>
  <si>
    <t>There were insufficient monitor cockroach traps available. Insufficient traps may limit the ability to monitor effectively and result in slower identification of infestation, delaying corrective action. The PCO should ensure that adequate stock levels for Monitor traps are maintained.</t>
  </si>
  <si>
    <t>There were insufficient bedbug traps available. Insufficient traps may limit the ability to monitor effectively and result in slower identification of infestation, delaying corrective action. The PCO should ensure that adequate stock levels for Bedbug traps are maintained.</t>
  </si>
  <si>
    <t>A portable, coloured container labelled ‘Poison’ was not available to ensure the safe transport of chemicals.  Without a clearly labelled ‘Poison’ container, there is an increased risk of accidental exposure, misuse, or improper handling of hazardous chemicals. The PCO should ensure that a transportation container, labelled with the appropriate Nutrastat Poison sign, is made available as soon as possible.</t>
  </si>
  <si>
    <t xml:space="preserve">A 10-15 metre extension cable is not available for carrying out treatments. The extension cable should be extended to approximately 10-15 metres. This will allow the Fogger to be transported easily without holding the extension lead. </t>
  </si>
  <si>
    <t>Pest Observations</t>
  </si>
  <si>
    <t>Pests Observed in the Department</t>
  </si>
  <si>
    <t>Cockroaches</t>
  </si>
  <si>
    <t>No cockroaches were seen in this department.</t>
  </si>
  <si>
    <t>Flying Insects</t>
  </si>
  <si>
    <t>No flies were seen in this department.</t>
  </si>
  <si>
    <t>Mosquitoes</t>
  </si>
  <si>
    <t>No mosquitoes were seen in this department.</t>
  </si>
  <si>
    <t>Bedbugs</t>
  </si>
  <si>
    <t>No bedbugs were seen in this department.</t>
  </si>
  <si>
    <t>SPI</t>
  </si>
  <si>
    <t>No Stored Product Insects (SPI) were seen in this department.</t>
  </si>
  <si>
    <t>Rodents</t>
  </si>
  <si>
    <t>No rodents (rats or mice) were seen in this department.</t>
  </si>
  <si>
    <t>Other pests</t>
  </si>
  <si>
    <t>No other pest types were seen in this department.</t>
  </si>
  <si>
    <t>Live Plants and Soil</t>
  </si>
  <si>
    <t>xxxxxxxx</t>
  </si>
  <si>
    <t>xxxxxxx</t>
  </si>
  <si>
    <t>Cockroaches were seen in this department. Cockroaches carry numerous viruses, bacteria, and parasites on their bodies and in their faeces, which can cause diarrhoea, dysentery, salmonella, and other serious health conditions.  The Department Head is responsible for the IPM in their department. They should discuss with the person preparing the food why this was not raised as an issue. The Department Head should discuss this with all preparation personnel so that all insect issues are raised. Affected food must be removed from service and discarded immediately. Remaining stock must be inspected and fully decanted, ensuring all produce is thoroughly checked and is free from pests. The supplier should be identified and reported to the Provisions Department as an issue. The Provisions Department must report it to Head Office, as the supplier may have warehouse issues that could affect future orders for the ship. This must be reported to the PCO/PCRO immediately, and the PCO/PCRO should discuss the issues with the Department Head and commence with the Total Cockroach Clearance (TCC) procedure.</t>
  </si>
  <si>
    <t>Flies were seen in this department. The Department Head is responsible for the IPM in their department. The Department Head should discuss this with all personnel and ask why this was not raised as an issue.  Flies in food areas are viewed poorly by public health authorities, creating a potential risk of contamination to food and surfaces.  Infestation is exacerbated by poor cleaning standards and practices. The presence of insects, rodents, and other pests must be effectively controlled to minimise their presence in the food storage, preparation, and service areas. They breed internally in areas where food is exposed or where internal practices require attention. Common sources include inadequate cleaning routines, improper garbage handling, drains, and standing water. Improve waste management standards, including regular cleaning of bins and surrounding areas. The Department Manager and Crew must ensure that the department's cleaning standards are maintained. Affected food must be removed immediately from service and discarded. Remaining stock must be inspected and fully decanted, ensuring all produce is thoroughly checked and is free from pests. This must be reported to the PCO/PCRO immediately, and the PCO/PCRO should discuss the issues with the Department Head. Please photograph the department area and state whether it was not possible to obtain photographs of flies.</t>
  </si>
  <si>
    <t>Mosquitoes were seen in this department. The Department Head is responsible for the IPM in their department. The Department Head should discuss this with all personnel and ask why this was not raised as an issue.  A mosquito infestation poses a significant risk to Public Health Inspectors and is a major area where public health deducts points. Infestation is exacerbated by poor cleaning standards and practices. The Department Manager and Crew must ensure that the department's cleaning standards are maintained. Affected food must be removed immediately from service and discarded. Remaining stock must be inspected and fully decanted, ensuring all produce is thoroughly checked and is free from pests. This must be reported to the PCO/PCRO immediately, and the PCO/PCRO should discuss the issues with the Department Head. Please photograph the department area and state whether it was not possible to obtain photographs of Mosquitoes</t>
  </si>
  <si>
    <t>Bedbugs were seen in this department. The Department Head is responsible for the IPM in their department. The Department Head should discuss this with all personnel and ask why this was not raised as an issue.  Infestation is encouraged by poor inspection standards and practices. The Department Manager and Crew must ensure the department inspection standards are maintained. This must be reported to the PCO/PCRO immediately, and the PCO/PCRO should discuss the issues with the Department Head.</t>
  </si>
  <si>
    <t>Stored-product insects (SPI) were observed in this department. The Department Head is responsible for the IPM in their department. The Department Head should discuss this with all personnel and ask why this was not raised as an issue.  A SPI infestation poses a significant risk to Public Health Inspectors and is a major area where public health deducts points. Infestation is encouraged by poor inspection, cleaning standards and practices. The Department Manager and Crew must ensure that the department's cleaning standards are maintained. Affected food must be removed immediately from service and discarded. Remaining stock must be inspected and fully decanted, ensuring all produce is thoroughly checked and is free from pests. The supplier should be identified and reported to the Provisions Department as an issue. The Provisions Department must report it to Head Office, as the supplier may have warehouse issues that could affect future orders for the ship. This must be reported to the PCO/PCRO immediately, and the PCO/PCRO should discuss the issues with the Department Head.</t>
  </si>
  <si>
    <t>Rodent(s) were seen in this department. The Department Head is responsible for the IPM in their department. The Department Head should discuss this with all personnel and ask why this was not raised as an issue.  A rodent infestation poses a significant risk to Public Health Inspectors and is a major area where public health deducts points. Infestation is encouraged by poor inspection, cleaning standards and practices. The Department Manager and Crew must ensure that the department's cleaning standards are maintained. This must be reported to the PCO/PCRO immediately, and the PCO/PCRO should discuss the issues with the Department Head. Crew, wearing full PPE, must remove and discard any affected food and remaining stock must be inspected and fully decanted, ensuring all produce is thoroughly checked and is free from pests. The supplier should be identified and reported to the Provisions Department as an issue. The Provisions Department must report it to Head Office, as the supplier may have warehouse issues that could affect future orders for the ship. Please photograph the department area and state whether it was not possible to obtain photographs.</t>
  </si>
  <si>
    <t>Other pests were seen in this department. The Department Head is responsible for the IPM in their department. The Department Head should discuss this with all personnel and ask why this was not raised as an issue.  A pest infestation poses a significant risk to Public Health Inspectors and is a major area where public health deducts points. Infestation is encouraged by poor inspection, cleaning standards and practices. The Department Manager and Crew must ensure that the department's cleaning standards are maintained. Affected food must be removed immediately from service and discarded. Remaining stock must be inspected and fully decanted, ensuring all produce is thoroughly checked and is free from pests. The supplier should be identified and reported to the Provisions Department as an issue. The Provisions Department must report it to Head Office, as the supplier may have warehouse issues that could affect future orders for the ship. This must be reported to the PCO/PCRO immediately, and the PCO/PCRO should discuss the issues with the Department Head.</t>
  </si>
  <si>
    <t>Cockroach Traps</t>
  </si>
  <si>
    <t>All traps were inspected weekly as per the current IPM period.</t>
  </si>
  <si>
    <t>All traps were accessible to inspect.</t>
  </si>
  <si>
    <t>All traps were placed at the beginning of the IPM Period as per the IPM Log inspection dates.</t>
  </si>
  <si>
    <t>Inspection dates were correctly detailed in accordance with the IPM period.</t>
  </si>
  <si>
    <t>The months were written in 3-character format (i.e. Apr, Aug, Dec).</t>
  </si>
  <si>
    <t>The inspector’s initials were detailed on the trap.</t>
  </si>
  <si>
    <t>Signature</t>
  </si>
  <si>
    <t>The inspector’s initials were detailed rather than a signature on the trap.</t>
  </si>
  <si>
    <t>Inspected weekly, and the counts of Adults, Nymphs, and Others are recorded.</t>
  </si>
  <si>
    <t>No traps were post- or future-dated.</t>
  </si>
  <si>
    <t xml:space="preserve">The location box was completed on the traps. </t>
  </si>
  <si>
    <t>Standard and Monitor Traps</t>
  </si>
  <si>
    <t>The monitoring traps are correctly placed as per the IPM Log.</t>
  </si>
  <si>
    <t>The PCRO/PCO is reviewing monitoring standards with department managers.</t>
  </si>
  <si>
    <t>The PCRO/PCO is not reviewing monitoring standards with department managers.</t>
  </si>
  <si>
    <t>All traps were in place, and none were missing.</t>
  </si>
  <si>
    <t>No traps were positioned inside storage spaces.</t>
  </si>
  <si>
    <t>The traps were placed horizontally on the deck.</t>
  </si>
  <si>
    <t>The correct trap type was used as per the IPM Log.</t>
  </si>
  <si>
    <t>The traps are in good condition, not wet, soiled, damaged or crushed.</t>
  </si>
  <si>
    <t>The traps were assembled correctly.</t>
  </si>
  <si>
    <t>The silicon release protective paper on the trap was being removed.</t>
  </si>
  <si>
    <t>The traps are lifted before washdown and are dry.</t>
  </si>
  <si>
    <t>Old traps were not being re-used.</t>
  </si>
  <si>
    <t>Nutrastat-branded traps were used, and the weekly inspection table was completed.</t>
  </si>
  <si>
    <t>The ship had a sufficient supply of standard and monitor traps.</t>
  </si>
  <si>
    <t>Total Cockroach Clearance (TCC) labelling was correctly left blank.</t>
  </si>
  <si>
    <t>Trap Correctly Placed</t>
  </si>
  <si>
    <t>A trap was placed correctly inside a Silent Sentry.</t>
  </si>
  <si>
    <t>Silent Sentries</t>
  </si>
  <si>
    <t>Silent Sentries were clean and well-maintained.</t>
  </si>
  <si>
    <t>The Silent Sentries were correctly labelled.</t>
  </si>
  <si>
    <t>The correct trap types were used in the Silent Sentries.</t>
  </si>
  <si>
    <t>Silent Sentries were all undamaged.</t>
  </si>
  <si>
    <t>The manufacturer’s protective plastic wrapping has been removed from all Silent Sentries.</t>
  </si>
  <si>
    <t>All internal base plates were correctly oriented.</t>
  </si>
  <si>
    <t>The base plates were placed underneath the hinge pins.</t>
  </si>
  <si>
    <t>The Silent Sentries were lifted before washdown and are dry.</t>
  </si>
  <si>
    <t>Silent Sentries are in the correct location according to the IPM Log.</t>
  </si>
  <si>
    <t>Traps had not been inspected as per the current IPM period. Potential pest ingress due to failure to complete weekly inspections.  It is a public health and IPM requirement that all inspections are carried out weekly. Supervisors/assistants must conduct spot checks to maintain monitoring integrity.</t>
  </si>
  <si>
    <t>Traps were not accessible to inspect. Potential pest ingress due to failure to complete weekly inspections. It is a public health and IPM requirement that all inspections are carried out weekly. Supervisors/assistants must conduct spot checks to maintain monitoring integrity.</t>
  </si>
  <si>
    <t>Not all traps were placed at the beginning of the IPM Period, as per the IPM Log placement date. It is important that trap placements are carried out in accordance with the IPM period inspection dates.  Refer to ‘trap date calculator’ in the IPM Log or ‘department Log’ for correct inspection and placement dates. The Department Manager and PCO should carry out spot checks to ensure the correct trap placement date is followed.</t>
  </si>
  <si>
    <t>Inspection dates were not detailed correctly in accordance with the IPM period. It is important that inspections are carried out in accordance with the IPM period inspection dates.  Refer to ‘trap date calculator’ in the IPM Log or ‘department Log’ for correct inspection and placement dates. The Department Manager and PCO should conduct spot checks to ensure the correct inspection dates are observed.</t>
  </si>
  <si>
    <t>The month was written as numbers, not in the 3-character month format. To avoid confusion between European and American dating, the month should be written in the first 3 letters of the month. The trap has DD MMM to remind the inspecting crew member that the month should be 3 characters (e.g., JAN, AUG, or DEC).  The Department Manager and PCO should carry out spot checks to ensure this is completed correctly.</t>
  </si>
  <si>
    <t>The inspector’s initials were not on the trap. Without initials, accountability for the inspection cannot be maintained as per the IPM Plan. The Department Manager and PCO should carry out spot checks to ensure the correct procedure is followed.</t>
  </si>
  <si>
    <t>The crew member inspecting the trap had signed the trap, instead of placing their initials. Without initials, the department manager will not know who has completed the inspection, and accountability cannot be maintained as per the IPM Plan.</t>
  </si>
  <si>
    <t>The counts were not recorded or were recorded incorrectly. Enter only a number or a 0 if there is a zero count.  To avoid misinterpretation, refrain from putting a strike through a zero.  The Department Manager and PCO should carry out spot checks to ensure the correct procedure is followed.</t>
  </si>
  <si>
    <t>Traps were post- or future-dated. Inspection recording must be completed on the trap only at the time of inspection. The Department Manager and PCO should carry out spot checks to ensure the correct procedure is followed.</t>
  </si>
  <si>
    <t>The location box had not been completed on the traps. Detailing the location ensures traps are placed in the correct location as per the IPM Log. The Department Manager and PCO should carry out spot checks to ensure the correct procedure is followed.</t>
  </si>
  <si>
    <t>Traps were not in the correct locations and did not match the IPM Log. Traps must be placed in the correct location, including after cleaning, as per the IPM Log. To provide efficient passive monitoring, traps must be placed on the deck or on the base of technical spaces. The Department Manager and PCO should carry out spot checks to ensure the correct procedure is followed.</t>
  </si>
  <si>
    <t xml:space="preserve">The PCRO/PCO is reviewing monitoring placements with department managers. </t>
  </si>
  <si>
    <t>The PCRO/PCO is not reviewing monitoring placements with department managers. If the placement of any trap requires changing, for example, to prevent it from getting wet, the PCO should email Nutrastat stating the potential location change.   Nutrastat will update the master IPM Log file to reflect any changes to the IPM Log.</t>
  </si>
  <si>
    <t>Traps were not in place, or traps were missing and not as per the IPM Log. Potential pest ingress due to failure to complete weekly inspections. It is a public health and IPM requirement that all inspections are carried out weekly. Missing traps should be reported by Crew Members to the Department Manager. Supervisors/assistants must conduct spot checks to maintain monitoring integrity.</t>
  </si>
  <si>
    <t>Traps were positioned inside storage spaces. Potential pest ingress due to ineffective monitoring. Supervisors/assistants must conduct spot checks to maintain monitoring integrity.</t>
  </si>
  <si>
    <t>Traps were positioned vertically, which prevents insects from entering the traps. Potential pest ingress due to ineffective monitoring. Supervisors/assistants must conduct spot checks to maintain monitoring integrity.</t>
  </si>
  <si>
    <t>Incorrect trap types were used. The trap types must match those recorded in the IPM Log to ensure effective monitoring.   If a change to the trap type is required, the PCO should email Nutrastat with the updated information. Nutrastat will update the master IPM Log file to reflect any changes to the IPM Log.</t>
  </si>
  <si>
    <t>Traps were not in good condition; they were wet, soiled, damaged or crushed, rendering monitoring ineffective. All traps must be lifted during washdown to prevent them from getting wet and to maintain the efficacy of IPM monitoring.  Traps should then be returned to their positions after washdown.  A decision to use a Silent Sentry in some locations may be necessary.  If trap placement requires a location change to prevent them from getting wet, or the use of a Silent Sentry is required, the PCO should email Nutrastat to indicate a potential change in location or trap type (S, SS, M).   The master IPM Log file will be updated to reflect any changes to the IPM Log.</t>
  </si>
  <si>
    <t>Traps were not assembled correctly. The ramps should be folded inwards, the tab inserted so that the text cannot be seen, and the creases pre-folded. Supervisors/assistants must conduct spot checks to maintain monitoring integrity.</t>
  </si>
  <si>
    <t>The silicon release protective paper had not been removed. If the glue on the trap is not exposed, the passive monitoring will be ineffective.</t>
  </si>
  <si>
    <t>Traps were wet. All traps must be lifted off the deck during washdown to stop them from getting wet and maintain the efficacy of the IPM monitoring.  When lifting traps, they must be placed on a non-food and non-clean equipment surface. Traps should then be returned to their positions after washdown, as soon as the deck is dry.  A decision to use a Silent Sentry in some locations may be necessary.  If trap placement requires a location change to prevent them from getting wet, or the use of a Silent Sentry is required, the PCO should email Nutrastat to indicate a potential change in location or trap type (S, SS, M).   The master IPM Log file will be updated to reflect any changes to the IPM Log.</t>
  </si>
  <si>
    <t>Old traps were being re-used. Re-using traps will not provide effective passive monitoring. The exposed sticky part will deteriorate over time, rendering monitoring ineffective. Traps must be used only for the duration of the IPM period and then replaced.</t>
  </si>
  <si>
    <t>Domestic (non Nutrastat-branded) traps were deployed due to poor stock accountability.  These traps are less effective and do not allow for the recording of weekly inspections.  Nutrastat have blank labels available in the IPM folders located on the shared drive that can be printed and placed on these traps. It is important that stock levels are maintained to avoid the incorrect traps being used. The PCO should complete an order requisition as soon as possible.</t>
  </si>
  <si>
    <t>The ship was low on or out of standard/monitor traps.  It is important that stock levels are maintained to avoid the incorrect traps being used. For effective monitoring, the trap types must match those recorded in the IPM Log.</t>
  </si>
  <si>
    <t>The top two boxes (TCC) had been completed on the trap. For ordinary passive monitoring, these boxes must not be completed. This should only be completed when certified applicators are completing the Total Cockroach Clearance procedure.</t>
  </si>
  <si>
    <t>A trap was placed upside down inside a Silent Sentry. A trap placed upside down means the glue will not be exposed correctly, rendering passive monitoring ineffective.</t>
  </si>
  <si>
    <t>Silent Sentries were not clean or well-maintained. Silent Sentries should be cleaned regularly to avoid becoming a pest attraction.</t>
  </si>
  <si>
    <t>The Silent Sentries were not correctly labelled. Labelling ensures the Silent Sentries are placed in the correct location as per the IPM Log. Nutrastat Silent Sentry labels can be located in the IPM electronic folders and should be printed, laminated and attached to the Silent Sentries.</t>
  </si>
  <si>
    <t>Silent Sentries were damaged, potentially rendering monitoring ineffective. The PCO should ensure damaged Silent Sentries are replaced as soon as possible.</t>
  </si>
  <si>
    <t>Silent Sentries were not clean or well-maintained. Silent Sentries should be cleaned regularly to avoid accumulation of soiled deposits; otherwise, they become another source of pest attraction. The Department Manager and PCO should conduct spot checks to ensure that Silent Sentries are regularly cleaned.</t>
  </si>
  <si>
    <t>The manufacturer's protective plastic wrapping had not been removed from Silent Sentries. The protective wrapping must be removed to ensure that the Silent Sentry can be cleaned effectively to avoid becoming an attraction. The Department Manager and PCO should carry out spot checks to ensure this has been completed.</t>
  </si>
  <si>
    <t>The base plates were not correctly oriented. If the base plate is set incorrectly, the trap will move when placed inside the Silent Sentry. The base plate must be set so that the metal stoppers face upwards. This will hold the standard trap centrally and prevent it from blocking the inlet ramps. The Department Manager and PCO should carry out spot checks to ensure the correct procedure is followed.</t>
  </si>
  <si>
    <t>The base plates were placed on the hinge pins. The base plate should be placed underneath the hinge pins, directly on the inlet ramps.</t>
  </si>
  <si>
    <t>Silent Sentries and traps were wet. Silent Sentries must be lifted off the deck during washdown to stop them from getting wet and maintain the efficacy of the IPM monitoring.  When lifting Silent Sentries, they must be placed on a non-food and non-clean equipment surface. Silent Sentries should then be placed back into position after washdown as soon as the deck is dry.  It is important that the Department Manager and PCO should carry out spot checks to ensure the correct procedure is followed.</t>
  </si>
  <si>
    <t>Incorrect trap types were used in the Silent Sentries. The trap types must match those recorded in the IPM Log to ensure effective monitoring.   If a change to the trap type is required, the PCO should email Nutrastat with the updated information. Nutrastat will update the master IPM Log file to reflect any changes to the IPM Log.</t>
  </si>
  <si>
    <t>Silent Sentries were not in the correct locations and did not match the IPM Log. Silent Sentries must be placed in the correct location, including after cleaning, as per the IPM Log. To provide efficient passive monitoring, traps must be placed on the deck or on the base of technical spaces. The Department Manager and PCO should carry out spot checks to ensure the correct procedure is followed.</t>
  </si>
  <si>
    <t>Electric Fly Killers</t>
  </si>
  <si>
    <t>Fly Killer Quantity</t>
  </si>
  <si>
    <t>Quantity</t>
  </si>
  <si>
    <t xml:space="preserve">There are sufficient fly killers in the area to prevent flying insect issues.  </t>
  </si>
  <si>
    <t>Zapper Fly Killers</t>
  </si>
  <si>
    <t>Type</t>
  </si>
  <si>
    <t>There are no zapper-type fly killers installed in non-food areas on the ship.</t>
  </si>
  <si>
    <t>Food Area</t>
  </si>
  <si>
    <t>There are no zapper-type fly killers installed in food areas.</t>
  </si>
  <si>
    <t>Power and Wiring</t>
  </si>
  <si>
    <t>Power</t>
  </si>
  <si>
    <t>All fly killers were powered and working.</t>
  </si>
  <si>
    <t>Permanent</t>
  </si>
  <si>
    <t>All fly killers work from a permanent power supply.</t>
  </si>
  <si>
    <t>Fly killers were not working from a permanent power supply, therefore preventing flying insect ingress.</t>
  </si>
  <si>
    <t>Wiring</t>
  </si>
  <si>
    <t>The wires powering the fly killers are correctly installed and in conduit.</t>
  </si>
  <si>
    <t>The wires powering the fly killers are not correctly installed and not in conduit.</t>
  </si>
  <si>
    <t>Clean and Well-Maintained</t>
  </si>
  <si>
    <t>Clean</t>
  </si>
  <si>
    <t>The fly killers are clean and well-maintained.</t>
  </si>
  <si>
    <t>Damaged</t>
  </si>
  <si>
    <t>All fly killers are in good condition and not damaged.</t>
  </si>
  <si>
    <t>Missing Parts</t>
  </si>
  <si>
    <t>There are no missing parts on the fly killers.</t>
  </si>
  <si>
    <t>Plastic Covering</t>
  </si>
  <si>
    <t>There is no original plastic manufacturer’s wrapping left on the fly killers.</t>
  </si>
  <si>
    <t>UV Tube Maintenance</t>
  </si>
  <si>
    <t>Changed</t>
  </si>
  <si>
    <t>All UV tubes are being changed as per the IPM Log.</t>
  </si>
  <si>
    <t>Working</t>
  </si>
  <si>
    <t>All UV Tubes are working when the power is on.</t>
  </si>
  <si>
    <t>UV Tubes are not working when the power is on, rendering passive monitoring ineffective.</t>
  </si>
  <si>
    <t>Shatterproof</t>
  </si>
  <si>
    <t>The UV tubes are shatterproof and covered with a special plastic coating.</t>
  </si>
  <si>
    <t>The UV tubes are installed so they point outward to maximise attraction.</t>
  </si>
  <si>
    <t>All the glue boards are being changed as per the IPM Plan.</t>
  </si>
  <si>
    <t>The glue boards are the correct type for each fly killer.</t>
  </si>
  <si>
    <t>Expiry Date</t>
  </si>
  <si>
    <t>The next expiry date is written on the back of the glue boards.</t>
  </si>
  <si>
    <t>Missing</t>
  </si>
  <si>
    <t>All fly killers are equipped with glue boards.</t>
  </si>
  <si>
    <t>Maintenance Labels</t>
  </si>
  <si>
    <t>The maintenance inspection labels are affixed to each fly killer.</t>
  </si>
  <si>
    <t>Completed</t>
  </si>
  <si>
    <t>The labels are being completed in accordance with the IPM Plan.</t>
  </si>
  <si>
    <t>Future Dates</t>
  </si>
  <si>
    <t>The maintenance labels were completed correctly, with no future dates.</t>
  </si>
  <si>
    <t>Board Count</t>
  </si>
  <si>
    <t>The glue board percentage count matches up with the records in the IPM Log.</t>
  </si>
  <si>
    <t>Correct Location</t>
  </si>
  <si>
    <t>Siting</t>
  </si>
  <si>
    <t>All fly killers are in the correct siting location as required by Public Health.</t>
  </si>
  <si>
    <t>Fly killers are not in the correct siting location as required by Public Health.</t>
  </si>
  <si>
    <t>Food</t>
  </si>
  <si>
    <t>No food is being stored under a fly killer.</t>
  </si>
  <si>
    <t>Equipment</t>
  </si>
  <si>
    <t>No clean equipment, utensils, or single-use items are being stored under a fly killer.</t>
  </si>
  <si>
    <t>Height</t>
  </si>
  <si>
    <t>All fly killers have been installed at the correct height.</t>
  </si>
  <si>
    <t>No food stored on the deck or in prohibited areas.</t>
  </si>
  <si>
    <t>Food Covering Food Prep Areas</t>
  </si>
  <si>
    <t>No food was left uncovered in food preparation areas out of service times.</t>
  </si>
  <si>
    <t>Food Covering Servery</t>
  </si>
  <si>
    <t>No food was left uncovered in food servery areas out of service times.</t>
  </si>
  <si>
    <t>No food was left uncovered out of service times.</t>
  </si>
  <si>
    <t>Display</t>
  </si>
  <si>
    <t>No display food uncovered out of service times.</t>
  </si>
  <si>
    <t>Waste Containers</t>
  </si>
  <si>
    <t>Waste containers were clean both inside and out to an acceptable standard.</t>
  </si>
  <si>
    <t>Lidded</t>
  </si>
  <si>
    <t>Waste containers had well-fitting lids available, attached and closed.</t>
  </si>
  <si>
    <t>Emptied</t>
  </si>
  <si>
    <t>Waste containers are emptied to prevent overflow and to ensure the bin lid fits.</t>
  </si>
  <si>
    <t>Bin Chutes</t>
  </si>
  <si>
    <t>Waste Chutes were covered and clean both inside and out.</t>
  </si>
  <si>
    <t>Pulpers</t>
  </si>
  <si>
    <t>No food waste left unprocessed in food pulper overnight.</t>
  </si>
  <si>
    <t>Exclusion</t>
  </si>
  <si>
    <t>Doors to food preparation, food storage and restaurant areas were closed, preventing fly insect ingress.</t>
  </si>
  <si>
    <t>Plastic Strip Curtains</t>
  </si>
  <si>
    <t>Plastic strip curtains were situated correctly and not dragging along the deck.</t>
  </si>
  <si>
    <t>Air Curtains</t>
  </si>
  <si>
    <t>Air curtains were functional and strong enough to create an air current to prevent fly ingress.</t>
  </si>
  <si>
    <t>Plumbing</t>
  </si>
  <si>
    <t>Drains</t>
  </si>
  <si>
    <t>All drains and scuppers are clean.</t>
  </si>
  <si>
    <t>No standing or pooled water was seen.</t>
  </si>
  <si>
    <t>Maintenance</t>
  </si>
  <si>
    <t>Maintenance is being conducted in a timely manner to prevent pest attractants.</t>
  </si>
  <si>
    <t>Maintenance is not being conducted in a timely manner, and delays in completing work orders and addressing maintenance issues can attract pests.</t>
  </si>
  <si>
    <t>Decks/Deckheads/Bulkheads</t>
  </si>
  <si>
    <t>Decks, bulkheads, and deckheads, and attached equipment are clean.</t>
  </si>
  <si>
    <t>Decks, bulkheads, and deckheads, and attached equipment are not clean.</t>
  </si>
  <si>
    <t>Repair</t>
  </si>
  <si>
    <t>Decks, bulkheads, and deckheads are in good repair.</t>
  </si>
  <si>
    <t>Decks, bulkheads, and deckheads are not in good repair.</t>
  </si>
  <si>
    <t>Mops and Buckets</t>
  </si>
  <si>
    <t xml:space="preserve">Mops and buckets are clean. </t>
  </si>
  <si>
    <t>Storage</t>
  </si>
  <si>
    <t>Correct storage of cleaning equipment, with mop head nested.</t>
  </si>
  <si>
    <t>Water Source</t>
  </si>
  <si>
    <t>No buckets left out after service.</t>
  </si>
  <si>
    <t xml:space="preserve">Cleaning   </t>
  </si>
  <si>
    <t>Lexan Box</t>
  </si>
  <si>
    <t>Working containers are covered (Lexan or Lexan-styled box).</t>
  </si>
  <si>
    <t>Used Items</t>
  </si>
  <si>
    <t>Any used items are cleaned or stored promptly.</t>
  </si>
  <si>
    <t>Surfaces</t>
  </si>
  <si>
    <t>All food-preparation surfaces are cleaned after use.</t>
  </si>
  <si>
    <t>Soiled Wares</t>
  </si>
  <si>
    <t>Soiled items have been cleaned and stored promptly.</t>
  </si>
  <si>
    <t>Drink Dispensers</t>
  </si>
  <si>
    <t>Drink Dispensers were clean and well maintained.</t>
  </si>
  <si>
    <t>There are insufficient amounts of fly killers in the area to prevent flying insect ingress. A suggestion to install additional fly killers was discussed, and locations were recommended.</t>
  </si>
  <si>
    <t>There are zapper-type fly killers installed in non-food areas.   Nutrastat recommends replacing these with the new LED fly killers, as they are better suited to controlling smaller fruit flies.</t>
  </si>
  <si>
    <t>There are zapper-type fly killers installed in food areas, which is contrary to Public Health regulations due to the risk of cross-contamination.  Nutrastat recommends replacing these with the new LED fly killers, as they are better suited to controlling smaller fruit flies.</t>
  </si>
  <si>
    <t>Electric Fly Killer was not working. This creates potential flying insect ingress and ineffective passive monitoring. A work order should be raised as soon as possible to arrange repair. Department Managers must report any concerns regarding Electric Fly Killers; this was reinforced during Departmental Responsibilities training.</t>
  </si>
  <si>
    <t>Pest attraction due to fly killers not being cleaned or well-maintained. Fly killers should be wiped down regularly to avoid accumulation of soiled deposits; otherwise, they become another source of pest attraction.  Advice should be sought from the electrician before proceeding with wiping down the fly killer.</t>
  </si>
  <si>
    <t>Electric Fly killers were in poor condition and damaged. To ensure that the appliance is operating at its optimum, the PCO should arrange for the damaged parts to be repaired or replaced.</t>
  </si>
  <si>
    <t>Parts were missing from the fly killers. To ensure that the appliance is operating at its optimum, parts should be ordered and replaced as needed.</t>
  </si>
  <si>
    <t>The manufacturer's protective plastic wrapping had not been removed from the fly killers. To avoid attracting pests, the protective wrapping must be removed to ensure the fly killers can be cleaned effectively. The PCO must ensure that this is rectified.</t>
  </si>
  <si>
    <t>The scheduled maintenance of the UV tube change has not been conducted, rendering passive monitoring ineffective. The scheduled UV tube change must be carried out in accordance with the IPM Plan. The Department Manager or PCO must ensure that this procedure is being followed.</t>
  </si>
  <si>
    <t>The UV tubes fitted to the fly killers are non-safety UV tubes or the special plastic coating has been removed. Nutrastat only supply shatterproof tubes.  In the event that a UV tube shatters, it will prevent glass particles contaminating food areas. The Electrician should ensure that the shatter-resistant sleeve does not get removed.</t>
  </si>
  <si>
    <t>The ship is purchasing their own UV tubes. The UV tubes in use have been identified as non-safety UV tubes and therefore failing to meet the required shatterproof standards.  In the event that a non-safety UV tube shatters, it will not prevent glass particles contaminating food areas.</t>
  </si>
  <si>
    <t>The UV tubes have been installed incorrectly, rendering passive monitoring ineffective. The PCO must arrange with the Electrician to rotate the tubes to ensure the illumination is pointing outwards.</t>
  </si>
  <si>
    <t>The scheduled maintenance of the glue board change has not been conducted, rendering passive monitoring ineffective. The PCRO and PCO should ensure that this is maintained.</t>
  </si>
  <si>
    <t>Incorrect glue boards have been used. The PCRO and PCO should ensure that the correct glue boards are in stock and being used.</t>
  </si>
  <si>
    <t>Expiry dates are not detailed on the glue boards.  This practice is essential to ensure the glue boards are changed on the correct dates, particularly if they have been changed between scheduled dates. The PCRO and PCO should ensure that this is being conducted.</t>
  </si>
  <si>
    <t>Fly killers are not equipped with glue boards. The ship does not have any glue boards in stock. If glue boards are not changed regularly, they will be less effective, as they will naturally attract dust and, over time, have reduced stickiness. The PCRO and PCO should place a stock requisition as soon as possible.</t>
  </si>
  <si>
    <t>The maintenance labels were not affixed to each fly killer. The maintenance label outlines the scheduled changes to the glue boards and UV tubes per the IPM Plan.</t>
  </si>
  <si>
    <t>Maintenance labels were not being completed.  It was unclear whether the ultraviolet (UV) tube and glue boards had been replaced. Failure to complete the maintenance label will render passive monitoring ineffective. The PCRO and PCO should ensure that this is being completed.</t>
  </si>
  <si>
    <t>Maintenance labels had been completed with a future date.   To ensure adherence to the maintenance schedule, dates must be entered only on the day of change. The PCRO and PCO should ensure that this is being completed.</t>
  </si>
  <si>
    <t>The glue board percentage count did not match the records in the IPM Log. Incorrect recording will render passive monitoring ineffective. The PCRO and PCO should ensure that this is being completed correctly.</t>
  </si>
  <si>
    <t>Food is being stored under a fly killer. This compromises food safety standards.  It is essential that nothing is stored directly below an Electric Fly Killer unless it is located in a dirty area, and a minimum of 15 cm on either side is recommended when storing nearby.</t>
  </si>
  <si>
    <t>Clean equipment, utensils, or single-use items were stored directly below an Electric Fly Killer. Fly killers should not be installed above clean equipment, utensils or single-use items.  It is essential that nothing is stored directly below an Electric Fly Killer unless it is located in a dirty area, and a minimum of 15 cm on either side is recommended when storing nearby.</t>
  </si>
  <si>
    <t>Fly killers have been installed either too high or too low. It is recommended that they be installed at a height of approximately 2-2.5 metres.</t>
  </si>
  <si>
    <t xml:space="preserve">Storage </t>
  </si>
  <si>
    <t>Food was not covered or otherwise protected by being exposed to splash, dust or other contamination. Food was not stored at least 150 millimetres (6 inches) above the deck  Food must be protected from potential pest contamination, particularly from flies The Department Manager should ensure food items are stored correctly</t>
  </si>
  <si>
    <t>Uncovered food attracts pests and poses a risk of food contamination due to high levels of bacteria carried by pests. Food was left partially or fully uncovered. Food outside service times should be protected from potential pest contamination, particularly from flies.   The Department Manager should ensure food items are removed or covered.</t>
  </si>
  <si>
    <t>Food Covering Messes</t>
  </si>
  <si>
    <t>Uncovered food attracts pests and poses a risk of food contamination due to high levels of bacteria carried by pests. Food outside service times should be protected from potential pest contamination, particularly from flies.   Plastic (self-closing) covered containers are recommended to ensure food is not contaminated and is safe to consume. The Department Manager should ensure food items are removed or covered.</t>
  </si>
  <si>
    <t>Display food uncovered out of service times. Whilst the intention is not to eat the displays, they are left uncovered, which increases pest attraction.</t>
  </si>
  <si>
    <t>Accumulated soiling both inside and out of waste containers. This poor practice will encourage pest infestation. To prevent accumulated soiled deposits, the Department Manager must ensure that waste-handling containers are cleaned inside and out after each emptying.</t>
  </si>
  <si>
    <t>Pest attraction caused by uncovered bins. Bins must be kept covered and must be emptied and cleaned regularly.</t>
  </si>
  <si>
    <t>Waste containers were not emptied and were overflowing. To avoid accumulated soiled deposits, the Department Manager must ensure that waste-handling containers are emptied to prevent overflowing and cleaned inside and out.</t>
  </si>
  <si>
    <t>Pest attraction due to uncovered waste chutes. Bin chutes must be kept covered, emptied and regularly cleaned inside and out.</t>
  </si>
  <si>
    <t>Food waste was left in the pulper overnight without being processed. This does not meet Public Health standards as the food waste is not protected from pests.</t>
  </si>
  <si>
    <t>Doors were left open, allowing flying insects to enter food preparation areas, food storage, and restaurants. This poor practice allows flying insects to enter food areas.   Wherever possible, access doors should be kept closed to prevent attraction to flying insects and prevent them from accessing food preparation and storage areas.</t>
  </si>
  <si>
    <t>Plastic strip curtains were missing or not hanging correctly.   This poor practice will allow flies to enter these food areas.   The ship should maintain/reinsert/install plastic strip curtains into their correct locations.</t>
  </si>
  <si>
    <t>Air curtains were not operating correctly. This poor practice will allow flying insects to enter.  The ship should maintain the air curtains to ensure effective operation.</t>
  </si>
  <si>
    <t>Drains and scuppers were not clean. A regular deep cleaning schedule should be maintained under the supervision of the Department Manager to reduce accumulated soiling and deter pest attraction.</t>
  </si>
  <si>
    <t>Standing Water Washdown</t>
  </si>
  <si>
    <t>Water sources from standing water potentially attracting pests.  Any excess water should be squeegeed into the drains to prevent attracting pests. The PCO should check and confirm that this practice is continuously adopted.</t>
  </si>
  <si>
    <t>Standing Water Leak</t>
  </si>
  <si>
    <t>Water sources from standing water potentially attracting pests.  A work order should be raised to address the leak. The PCO should check and confirm that this has been reported and followed up on to ensure the issue is resolved.</t>
  </si>
  <si>
    <t>Pest attraction due to soiled mop head and bucket. As per public health guidelines, mop buckets must be emptied of soiled water immediately after use. The mop head and bucket must be cleaned, and then the mop turned upside down to air dry. This helps to prevent pest attraction.</t>
  </si>
  <si>
    <t>Pest attraction due to soiled mop head not being stored correctly. As per public health guidelines, mop buckets must be emptied of soiled water immediately after use. The mop head and bucket must be cleaned, and then the mop turned upside down to air dry. This helps to prevent pest attraction.</t>
  </si>
  <si>
    <t>Pest attraction due to cold, dirty water left in the bucket; this creates abundant water sources for flying insects. As per public health guidelines, mop buckets must be emptied of soiled water immediately after use. The mop head and bucket must be cleaned, and then the mop turned upside down to air dry. This helps to prevent pest attraction.</t>
  </si>
  <si>
    <t>Soiled food preparation surfaces. To avoid pest attraction, the Department Manager must ensure that a regular cleaning schedule is maintained.</t>
  </si>
  <si>
    <t>Soiled wares will attract and feed flying and crawling insects. When wares are left until the wash service commences, they should be covered to reduce attraction. Soiled wares may be immersed in sanitising fluid by utilising the wash and rinse sink or by placing them in a lidded container.</t>
  </si>
  <si>
    <t>Drink dispensers were not clean and well maintained. Drink residue will attract and feed flying insects. Department Managers must ensure that drink dispensers are cleaned during and at the end of service to reduce pest attraction.</t>
  </si>
  <si>
    <t>Provisions inspections</t>
  </si>
  <si>
    <t>Pallet Height</t>
  </si>
  <si>
    <t>All provisions stored were kept at least 15 cm off the deck. Measurement, should be in mm and other CM, should be the same</t>
  </si>
  <si>
    <t>Cleanliness</t>
  </si>
  <si>
    <t>The department's cleaning standards were satisfactory, and there were no food or other potential attractants on the deck.</t>
  </si>
  <si>
    <t>Wooden pallets</t>
  </si>
  <si>
    <t>There were no wooden pallets observed inside the department apart from in the corridors or loading area.</t>
  </si>
  <si>
    <t>ISMP#15</t>
  </si>
  <si>
    <t>Any wooden crates used for storing provisions had an ISPM 15 stamp.</t>
  </si>
  <si>
    <t>Wooden Crates</t>
  </si>
  <si>
    <t>Small wooden crates are not used to store alcohol.</t>
  </si>
  <si>
    <t>All provisions were stored on compliant pallets, shelves and racking.</t>
  </si>
  <si>
    <t>Decanting</t>
  </si>
  <si>
    <t>Evidence</t>
  </si>
  <si>
    <t>Clear evidence of decanting in the provisions department.</t>
  </si>
  <si>
    <t>Containers</t>
  </si>
  <si>
    <t>There were sufficient containers to implement decanting procedures.</t>
  </si>
  <si>
    <t>Lexan boxes or Lexan style boxes were not being used, suggesting an insufficient supply of containers.</t>
  </si>
  <si>
    <t>Reporting</t>
  </si>
  <si>
    <t>Provisions/Stores are informing relevant Managers when goods are taken without decanting.</t>
  </si>
  <si>
    <t>Clear evidence of inspections in the provisions department.</t>
  </si>
  <si>
    <t>Original Packaging</t>
  </si>
  <si>
    <t>No evidence of original packaging for fresh food items outside of the provisions department.</t>
  </si>
  <si>
    <t>Closed Doors</t>
  </si>
  <si>
    <t>All doors to the provisions area were closed.</t>
  </si>
  <si>
    <t>All plastic strip curtains were situated correctly and not dragging along the deck.</t>
  </si>
  <si>
    <t>All air curtains were functional and provided a strong enough airflow to prevent the ingress of flying insects.</t>
  </si>
  <si>
    <t>Items were found to be stored on deck. Food/drink must be stored off deck at a minimum of 15 cm on compliant metal/plastic shelving or pallets to allow for cleaning, inspection, and to protect food items from becoming contaminated by pests, dirt, and spillages on the deck.</t>
  </si>
  <si>
    <t>Cleaning standards were poor, with accumulated soiling on the deck demonstrating a lack of deep cleaning. Poor practices will encourage pest attraction.  The store area must be kept tidy, and regular, detailed cleaning should be maintained.</t>
  </si>
  <si>
    <t>Wooden pallets were observed in the storeroom; wooden pallets must not be placed in storerooms. Untreated wood can harbour pests and harmful bacteria, increasing the risk of bringing pests into the storeroom, as well as the risk of mould and fungal growth from moisture in the storeroom. To prevent possible pest transfer into the provisions area, all provisions should be moved from wooden pallets to compliant metal or plastic pallets before being moved from loading to the storeroom. The Provision Master must ensure that all crew members are supported and trained to ensure this practice is not repeated.</t>
  </si>
  <si>
    <t>The wooden crates used for storing provisions did not display the required ISPM 15 stamp or the Heat Treatment (HT) stamp. This results in an inability to verify compliance with applicable wood packaging treatment requirements. Food in wooden crates must be transferred to Lexan style containers before storage.</t>
  </si>
  <si>
    <t>Small wooden crates are used to store alcohol. These wooden crates are made from untreated timber and, in most cases, are not heat- or chemical-treated, which can harbour pests and harmful bacteria. Given the risk of accidental breakage of glass bottles when decanting, it is recommended to check any wooden packaging without an ISPM-15 stamp for pests before transferring it to the storerooms.</t>
  </si>
  <si>
    <t>Some items were stored on non-compliant pallets. These pallets do not allow for cleaning and inspection; they should be replaced. Pallets should be cleanable, have few surfaces, be 15cm high, and have no centre section.</t>
  </si>
  <si>
    <t>There is no evidence of decanting in the provisions department. This practice puts the vessel at extreme risk of pest ingress in food areas, particularly cockroaches. The Executive Chef and the Chef in charge of this area must ensure that all items are removed from their original packaging prior to transportation by actively monitoring.</t>
  </si>
  <si>
    <t>Provisions/Stores are not informing relevant Managers when goods are taken without decanting. The Provisions team should assist in identifying Chefs that do not maintain decanting standards and report this to the Executive Chef so that corrective action can be undertaken.</t>
  </si>
  <si>
    <t>There is no evidence of inspections in the provisions department. This practice puts the vessel at extreme risk of pest ingress in food areas, particularly cockroaches.</t>
  </si>
  <si>
    <t>There was no evidence that inspections were being conducted. This practice puts the vessel at extreme risk of pest ingress in food areas, particularly cockroaches. It is an IPM Plan recommendation that the items are inspected in their boxes prior to transportation to the department.</t>
  </si>
  <si>
    <t>Fresh items were not removed from their original packaging/containers and placed into Lexan Boxes before transportation. This practice puts the vessel at extreme risk of pest ingress in food areas, particularly cockroaches. This simple practice can save the ship from pest infestations and subsequent treatments, which would impede the day-to-day operation. The Department Manager and Person in Charge of the area must ensure that the crew know and understand how to decant every item.</t>
  </si>
  <si>
    <t>Doors to provisions areas were open. This poor practice allows flying insects to enter food areas.   Wherever possible, access doors should be kept closed to prevent attraction of flying insects and prevent them from accessing food preparation and storage areas.</t>
  </si>
  <si>
    <t>Plastic strip curtains were not hanging correctly, or parts were missing.   This poor practice will allow flies to enter these food areas.   The ship should maintain/reinsert/install plastic strip curtains into their correct locations.</t>
  </si>
  <si>
    <t>Air curtains were not operating correctly. This poor practice will allow flying insects to enter.   The ship should maintain the air curtains to ensure effective operation.</t>
  </si>
  <si>
    <t>Recycling Centre Standards</t>
  </si>
  <si>
    <t>Cleaning Standards</t>
  </si>
  <si>
    <t>Decks</t>
  </si>
  <si>
    <t>The Decks are clean and free of excessive residue.</t>
  </si>
  <si>
    <t>Bulkheads</t>
  </si>
  <si>
    <t>The Bulkheads are clean and free of excessive residue.</t>
  </si>
  <si>
    <t>Deckheads</t>
  </si>
  <si>
    <t>The Deckheads are clean and free of excessive residue.</t>
  </si>
  <si>
    <t>Sorting Table</t>
  </si>
  <si>
    <t>The Sorting Table is clean and free of excessive residue.</t>
  </si>
  <si>
    <t>Machinery</t>
  </si>
  <si>
    <t>Incinerator Covered</t>
  </si>
  <si>
    <t>Kept covered when not in continuous use.</t>
  </si>
  <si>
    <t>Incinerator Clean</t>
  </si>
  <si>
    <t>Kept clean.</t>
  </si>
  <si>
    <t>Glass Crusher Covered</t>
  </si>
  <si>
    <t xml:space="preserve">The Glass Crusher was kept covered when not in continuous use. </t>
  </si>
  <si>
    <t>Glass Crusher Clean</t>
  </si>
  <si>
    <t>The Glass Crusher was kept clean.</t>
  </si>
  <si>
    <t>Compactor Covered</t>
  </si>
  <si>
    <t>The Compactor was kept covered when not in continuous use.</t>
  </si>
  <si>
    <t xml:space="preserve">The Compactor was not covered when not in use. </t>
  </si>
  <si>
    <t>Compactor Clean</t>
  </si>
  <si>
    <t>The Compactor was kept clean.</t>
  </si>
  <si>
    <t>Crushed Glass</t>
  </si>
  <si>
    <t>Crushed glass container is covered to prevent pest attraction.</t>
  </si>
  <si>
    <t>Covered</t>
  </si>
  <si>
    <t>Waste containers were covered when not in use.</t>
  </si>
  <si>
    <t>Waste containers were emptied to prevent overflow and to ensure the bin lid fitted.</t>
  </si>
  <si>
    <t>Overflow</t>
  </si>
  <si>
    <t>There was no waste overflow.</t>
  </si>
  <si>
    <t>Doors to the provisions area were closed, preventing fly insect ingress.</t>
  </si>
  <si>
    <t>Strip Curtains</t>
  </si>
  <si>
    <t>Air curtains were functional with a strong enough air current to prevent fly ingress.</t>
  </si>
  <si>
    <t>All drains and scuppers were clean.</t>
  </si>
  <si>
    <t>Soiling and sticky residue on the deck.   This poor practice will encourage pest infestation. To prevent the accumulation of soiled deposits, the Department Manager must ensure that cleaning standards are maintained by implementing a regular deep-cleaning schedule to deter pest attraction.</t>
  </si>
  <si>
    <t>Soiling on the bulkheads.  This poor practice will encourage pest infestation. To avoid accumulated soiled deposits, the Department Manager must ensure that cleaning standards are maintained by implementing a regular deep-cleaning schedule to deter pest attraction.</t>
  </si>
  <si>
    <t>Soiling on the deckheads.  This poor practice will encourage pest infestation. To avoid accumulated soiled deposits, the Department Manager must ensure that cleaning standards are maintained by implementing a regular deep-cleaning schedule to deter pest attraction.</t>
  </si>
  <si>
    <t>Soiling on the sorting table.  This poor practice will encourage pest infestation. To avoid accumulated soiled deposits, the Department Manager must ensure that cleaning standards are maintained by implementing a regular deep-cleaning schedule to deter pest attraction.</t>
  </si>
  <si>
    <t>The incinerator was not covered. This poor practice will encourage pest infestation.</t>
  </si>
  <si>
    <t>Accumulated soiling on the incinerator. This poor practice will encourage pest infestation. To avoid accumulated soiled deposits, the Department Manager must ensure that cleaning standards are maintained by implementing a regular deep-cleaning schedule to deter pest attraction.</t>
  </si>
  <si>
    <t>The Glass Crusher was not covered when not in use. This poor practice will encourage pest infestation.</t>
  </si>
  <si>
    <t>Accumulated soiling on the Glass Crusher. Sticky residues on the entrance and protective flaps of the glass crusher. This poor practice will encourage pest infestation. To avoid accumulated soiled deposits, the Department Manager must ensure that cleaning standards are maintained by implementing a regular deep-cleaning schedule to deter pest attraction.</t>
  </si>
  <si>
    <t>Accumulated soiling on the Compactor. This poor practice will encourage pest infestation. To avoid accumulated soiled deposits, the Department Manager must ensure that cleaning standards are maintained by implementing a regular deep-cleaning schedule to deter pest attraction.</t>
  </si>
  <si>
    <t>The crushed glass container is not covered. Exposing sticky residue and attracting pests. Ensure the container is covered to avoid leaving sticky residue that could attract pests.</t>
  </si>
  <si>
    <t>Waste containers were left uncovered, attracting pests. Containers must be kept covered when not in continuous use and after they are filled.</t>
  </si>
  <si>
    <t>There was waste overflow, resulting in storage on deck and the inability to shut the lid. To avoid accumulated soiled deposits, the Department Manager must ensure that waste-handling containers are emptied to prevent overflowing and cleaned inside and out.</t>
  </si>
  <si>
    <t>Water sources from standing water potentially attracting pests.  Any excess water after washdown should be squeegeed into the drains to prevent attracting pests. The PCO should check and confirm that this practice is continuously adopted.</t>
  </si>
  <si>
    <t>Standing water can attract pests.  The water appeared to be a leak; a work order should be raised to address this issue. Any excess water should be collected and emptied regularly to prevent pest attraction whilst waiting to be fixed. The PCO should verify that this has been reported, then follow up to ensure the issue is resolved.</t>
  </si>
  <si>
    <t>Inspection</t>
  </si>
  <si>
    <t>The FWD and AFT mooring and spring lines were inspected.</t>
  </si>
  <si>
    <t>The FWD and AFT mooring and spring lines could not be inspected due to location constraints.</t>
  </si>
  <si>
    <t>Construction</t>
  </si>
  <si>
    <t>All rat guards meet the minimum construction requirements.</t>
  </si>
  <si>
    <t>Specification Document</t>
  </si>
  <si>
    <t>Purchased rat guards have the manufacturer's specification document available.</t>
  </si>
  <si>
    <t>Number Per Line</t>
  </si>
  <si>
    <t>Count</t>
  </si>
  <si>
    <t>One rat guard was installed per line.</t>
  </si>
  <si>
    <t>Installation: Timing</t>
  </si>
  <si>
    <t>Arrival</t>
  </si>
  <si>
    <t>All rat guards were installed within an hour of arrival.</t>
  </si>
  <si>
    <t>Departure</t>
  </si>
  <si>
    <t>All rat guards remained in place for up to an hour before departure.</t>
  </si>
  <si>
    <t>Installation: Dockside</t>
  </si>
  <si>
    <t>All mooring and spring lines have a rat guard installed.</t>
  </si>
  <si>
    <t>Gaps</t>
  </si>
  <si>
    <t>All rat guards were installed with no gaps to prevent rodent ingress.</t>
  </si>
  <si>
    <t>Distance</t>
  </si>
  <si>
    <t>Rat guards were installed 2 m from the dockside (considering safety concerns).</t>
  </si>
  <si>
    <t>Rat guards were positioned too close to the dockside/lash point, creating a potential route for rodent ingress and compromising the effectiveness of exclusion.</t>
  </si>
  <si>
    <t>Angled</t>
  </si>
  <si>
    <t>Rat guards were not placed at too shallow an angle.</t>
  </si>
  <si>
    <t>Hanging Off</t>
  </si>
  <si>
    <t>All rat guards were securely tied and not hanging off.</t>
  </si>
  <si>
    <t>Orientation</t>
  </si>
  <si>
    <t>All the rat guards were correctly oriented and deployed correctly.</t>
  </si>
  <si>
    <t>Ground Height</t>
  </si>
  <si>
    <t>Rat guards were not installed too low on the dock.</t>
  </si>
  <si>
    <t>Rat guards were installed too low on the dock, creating an opportunity for rodent ingress. Rat guards should be positioned at an appropriate height and location to ensure they function effectively and prevent rodent access.</t>
  </si>
  <si>
    <t>Securing Line</t>
  </si>
  <si>
    <t>All securing lines were correctly installed on the rat guards.</t>
  </si>
  <si>
    <t>Splice</t>
  </si>
  <si>
    <t>All splicing on mooring lines prevented rodent ingress.</t>
  </si>
  <si>
    <t>Potential rodent ingress, as splicing provided access for rodents to use to climb and gain access to the vessel.</t>
  </si>
  <si>
    <t>Weighted</t>
  </si>
  <si>
    <t>All dockside-installed rat guards were weighted in accordance with the IPM Plan.</t>
  </si>
  <si>
    <t>Staggered</t>
  </si>
  <si>
    <t>No rat guards were staggered, allowing rodents to bypass the guards.</t>
  </si>
  <si>
    <t>Installation: Shipside</t>
  </si>
  <si>
    <t>All shipside-installed rat guards were at least 60 cm away from the ship.</t>
  </si>
  <si>
    <t>Hanging</t>
  </si>
  <si>
    <t>All the rat guards were correctly oriented and deployed.</t>
  </si>
  <si>
    <t>All shipside-installed rat guards were weighted in accordance with the IPM Plan.</t>
  </si>
  <si>
    <t>Openings</t>
  </si>
  <si>
    <t>All shipside rat guards are installed before the ship rope hawsehole.</t>
  </si>
  <si>
    <t>Shipside rat guards are installed too close to the rope hawsehole, creating a potential rodent ingress point.</t>
  </si>
  <si>
    <t xml:space="preserve">All rat guards were installed within an hour of the shoreside connections being used. </t>
  </si>
  <si>
    <t xml:space="preserve">All rat guards remained in place for more than an hour before departure. </t>
  </si>
  <si>
    <t>Installation: Bunkering Dockside</t>
  </si>
  <si>
    <t>All connection lines have a rat guard.</t>
  </si>
  <si>
    <t>Rat guards were installed at appropriate distances (considering safety concerns).</t>
  </si>
  <si>
    <t>Potential rodent ingress; rat guards were fitted too close to dockside.</t>
  </si>
  <si>
    <t>All rat guards were securely tied and not hanging.</t>
  </si>
  <si>
    <t>Rat guards were orientated correctly.</t>
  </si>
  <si>
    <t>Potential rodent ingress, as rat guards were oriented at less than a 90° angle, creating gaps.</t>
  </si>
  <si>
    <t>Rat guards were not installed too low on the deck.</t>
  </si>
  <si>
    <t>Potential rodent ingress; rat guards were fitted too low relative to the mooring lines.</t>
  </si>
  <si>
    <t>All securing lines installed on the rat guards were secured at the back of each guard.</t>
  </si>
  <si>
    <t>Securing lines have been secured in a way that provides potential rodent ingress.</t>
  </si>
  <si>
    <t>Rat guards did not meet the minimum construction requirements. The minimum width for a rat guard as per IPM compliance is a minimum of 200 mm wide on each side of the line and a minimum of 200 mm from the top of the line.</t>
  </si>
  <si>
    <t>Purchased rat guards do not have the manufacturer's specification document available. The lack of manufacturer specifications for the purchased rat guards prevents confirmation that the equipment meets operational and pest-prevention requirements, potentially undermining the effectiveness of rodent-exclusion controls and raising compliance concerns.</t>
  </si>
  <si>
    <t>Insufficient rat guards were installed.  Rat guards were not installed on all applicable lines.  The minimum requirement is one rat guard per line to provide adequate protection against rodent ingress.</t>
  </si>
  <si>
    <t>Rat guards were not deployed within the required one-hour timeframe following arrival.  This delay created a potential opportunity for rodent ingress due to inadequate protection of mooring lines.</t>
  </si>
  <si>
    <t>Rat guards were removed from the mooring lines before the required one-hour period before departure elapsed.  Early removal could increase the risk of rodent ingress by reducing the effectiveness of rodent exclusion measures.</t>
  </si>
  <si>
    <t>Not all mooring or spring lines had a rat guard installed. Failure to install rat guards on mooring lines may allow rodents to gain access to the vessel, increasing the risk of infestation, contamination, and non-compliance with IPM Plan.</t>
  </si>
  <si>
    <t>Potential rodent ingress through gaps between the mooring line and rat guards.  The Bosun and team should address the gaps to maintain compliance standards. Rodent ingress may compromise the Ship Sanitation Certificate, potentially resulting in a control certificate being issued. A control certificate could cause additional work, as well as hinder the ship docking. Rodents can fit into gaps as small as 6 millimetres, putting the ship at risk of rodent ingress. Gaps must be filled with material that is not easily removed or destroyed. It is not always possible to use one rat guard for multiple mooring/spring lines. Bristles or rubber flaps can be fixed to the centre slot of the rat guard to ensure a 360° seal. Or the use of two touching rat guards applied 180° to each other, to give the IPM Plan recommended 360° coverage. Ships can make a rat guard with a centre slot large enough for multiple lines, provided it meets the construction and compliance standards.</t>
  </si>
  <si>
    <t>Potential for rodent ingress due to rat guards installed at a shallow angle on the mooring lines. To maximise effectiveness, rat guards should be installed at a 90° angle to the mooring line to provide optimal protection against rodent access.  The IPM Plan recommends using weights on ship-side-fitted rat guards to maintain a vertical position and ensure continued effectiveness during tidal changes, vessel movement, or high-wind conditions.</t>
  </si>
  <si>
    <t>Potential rodent ingress due to rat guards hanging off. Rat guards must be effectively fitted to the mooring and spring lines and checked regularly to ensure the ship is protected from rodent ingress. While not a mandatory public health requirement, the use of weights is recommended for shipside fitted rat guards. Weights ensure that the guards remain vertical and effective during tidal shifts or high wind.</t>
  </si>
  <si>
    <t>Rat guards were installed in the wrong orientation, resulting in the centre slot being positioned at approximately 45°, creating a gap that could allow rodents to access the vessel. To ensure effective rodent exclusion, any gaps in the centre slot must be sealed with a material that cannot be easily removed or damaged. Bristles or rubber flaps may be fitted to the centre slot of the rat guard to provide a continuous 360° barrier. Alternatively, two rat guards can be installed in contact with each other, oriented 180° apart, to achieve the 360° coverage recommended in the IPM Plan.</t>
  </si>
  <si>
    <t>Securing lines were installed incorrectly.  Potential rodent ingress, as the securing line provided access for the rodents to use to climb and gain access to the vessel.</t>
  </si>
  <si>
    <t>Dock-side rat guards were not weighted in accordance with the IPM Plan. While not a mandatory public health requirement, the IPM Plan recommends using weights on rat guards to maintain a vertical position and ensure continued effectiveness during tidal changes, vessel movement, or high-wind conditions.</t>
  </si>
  <si>
    <t>Rat guards were installed in a staggered arrangement, creating the potential for rodents to gain access to adjacent mooring lines. To maintain effective rodent exclusion, rat guards fitted to adjacent lines should be positioned at the same level and in contact with one another, eliminating gaps and providing continuous protection between lines.</t>
  </si>
  <si>
    <t>Potential rodent ingress through gaps between the mooring line and rat guards.  The Bosun and team should address the gaps to maintain compliance standards. Rodent ingress may compromise the Ship Sanitation Certificate, bringing in a control certificate. A control certificate could cause additional work, as well as hinder the ship docking. Rodents can fit into gaps as small as 6 millimetres, putting the ship at risk of rodent ingress.</t>
  </si>
  <si>
    <t>Rat guards were not at least 60 cm away from the ship. Rat guards must be at least 60 cm from the shipside to prevent rodent access.</t>
  </si>
  <si>
    <t>Potential rodent ingress due to a rat guard hanging off. Ensure rat guards are securely tied to the mooring and spring lines. While not a mandatory public health requirement, the IPM Plan recommends using weights on rat guards to maintain a vertical position and ensure continued effectiveness during tidal changes, vessel movement, or high-wind conditions.</t>
  </si>
  <si>
    <t>Rat guards were installed in the wrong orientation, resulting in the centre slot being positioned at approximately 45°, creating a gap that could allow rodents to access the vessel. While not a mandatory public health requirement, the IPM Plan recommends using weights on rat guards to maintain a vertical position and ensure continued effectiveness during tidal changes, vessel movement, or high-wind conditions.</t>
  </si>
  <si>
    <t>Securing lines were installed incorrectly.  Potential rodent ingress, as the securing line provided a route for rodents to climb over and gain entry.</t>
  </si>
  <si>
    <t>Rat guards were not weighted in accordance with the IPM Plan. While not a mandatory public health requirement, the IPM Plan recommends using weights on rat guards to maintain a vertical position and ensure continued effectiveness during tidal changes, vessel movement, or high-wind conditions.</t>
  </si>
  <si>
    <t>Rat guards were not deployed within the required one-hour timeframe following arrival.  This delay created a potential opportunity for rodent ingress due to inadequate protection on shoreside connections.</t>
  </si>
  <si>
    <t>Rat guards were removed from shoreside connections before the required one-hour period before departure elapsed.  Early removal could increase the risk of rodent ingress by reducing the effectiveness of rodent exclusion measures.</t>
  </si>
  <si>
    <t>Rat guards were not installed on all connection lines (e.g., water, fuel and discharge); otherwise, rodents may use shoreside connections to gain access to the ship. Nutrastat recommends that, for potable water, rat guards should be painted with yellow oil-based paint, stencilled “Potable Water only”, cleaned and sanitised, and kept with the potable water fittings for immediate use.</t>
  </si>
  <si>
    <t>Potential rodent ingress due to gaps between shoreside connections and rat guards. The Bosun and team should address the gaps to maintain compliance standards. Rodent ingress may compromise the Ship Sanitation Certificate; bringing in a control certificate. A control certificate could cause additional work, as well as hinder the ship docking. Rodents can fit into gaps as small as 6 millimetres, putting the ship at risk of rodent ingress. Gaps must be filled with material that is not easily removed or destroyed. Ships can make rat guards suitable to use with shoreside connections. Bristles or rubber flaps can be fixed to the centre slot of the rat guard to ensure a 360° seal. Or the use of two touching rat guards applied 180° to each other, to give the IPM Plan recommended 360° coverage.</t>
  </si>
  <si>
    <t>Potential for rodents to access the vessel due to rat guards being placed at a shallow angle. Rat Guards must be installed at a 90° angle to help alleviate any rodent ingress.</t>
  </si>
  <si>
    <t>Potential rodent ingress due to a rat guard hanging off. Ensure rat guards are securely tied to shoreside connections.</t>
  </si>
  <si>
    <t>Mooring or Spring Line AFT FWD</t>
  </si>
  <si>
    <t xml:space="preserve">N/A  </t>
  </si>
  <si>
    <t>N/A</t>
  </si>
  <si>
    <t xml:space="preserve"> N/A</t>
  </si>
  <si>
    <t xml:space="preserve"> </t>
  </si>
  <si>
    <t xml:space="preserve">N/A </t>
  </si>
  <si>
    <t>40/</t>
  </si>
  <si>
    <t>8.1.2.3</t>
  </si>
  <si>
    <t>Plan Evaluation Inspections</t>
  </si>
  <si>
    <t>8.1.3.1.1</t>
  </si>
  <si>
    <t>IPM and Pesticide Use Pesticide Record</t>
  </si>
  <si>
    <t>8.1.3.1.4</t>
  </si>
  <si>
    <t>IPM and Pesticide Use Safety</t>
  </si>
  <si>
    <t>8.1.1.3</t>
  </si>
  <si>
    <t>IPM Plans Logs</t>
  </si>
  <si>
    <t>IPM Plans  Logs</t>
  </si>
  <si>
    <t>8.1.1.4</t>
  </si>
  <si>
    <t>IPM Plans Passive Surveillance</t>
  </si>
  <si>
    <t>8.1.1.5</t>
  </si>
  <si>
    <t>IPM Plans Action and Follow Up</t>
  </si>
  <si>
    <t>39C</t>
  </si>
  <si>
    <t>/8.1.3.1.2</t>
  </si>
  <si>
    <t>IPM and Pesticide Use Restricted Use</t>
  </si>
  <si>
    <t>31C</t>
  </si>
  <si>
    <t>/7.5.2.1.1</t>
  </si>
  <si>
    <t>81.1.3</t>
  </si>
  <si>
    <t>.1.1.3</t>
  </si>
  <si>
    <t>IPM plans Logs</t>
  </si>
  <si>
    <t>7.5.2.2.2</t>
  </si>
  <si>
    <t>Operational Supplies And Application Use Use Conditions</t>
  </si>
  <si>
    <t>IPM  Passive Surveillance</t>
  </si>
  <si>
    <t>7.6.6.2</t>
  </si>
  <si>
    <t>Lighting Light Bulbs</t>
  </si>
  <si>
    <t>8.2.2.2.2/8.2.2.2.3</t>
  </si>
  <si>
    <t>19/28</t>
  </si>
  <si>
    <t>8.2.2.2.2</t>
  </si>
  <si>
    <t>Control Measures  Food protection</t>
  </si>
  <si>
    <t>8.2.2.2.3</t>
  </si>
  <si>
    <t>Control Measures Utensil Protection</t>
  </si>
  <si>
    <t>7.2.3.5.1</t>
  </si>
  <si>
    <t>Food and Storage Protection Storage Protection</t>
  </si>
  <si>
    <t>7.2.3.2.1</t>
  </si>
  <si>
    <t>Food Protection Cross Contamination</t>
  </si>
  <si>
    <t>7.2.3.6.1</t>
  </si>
  <si>
    <t>Food Display and Service Display Protection</t>
  </si>
  <si>
    <t>7.6.3.1.7</t>
  </si>
  <si>
    <t>Waste-Handling Receptacles and Containers Cleaned</t>
  </si>
  <si>
    <t>7.6.3.1.2</t>
  </si>
  <si>
    <t>/8.2.1.1.1</t>
  </si>
  <si>
    <t>Pest Control Exclusion Effective Control</t>
  </si>
  <si>
    <t>8.2.1.1.2</t>
  </si>
  <si>
    <t>Pest Control Exclusion</t>
  </si>
  <si>
    <t>7.6.4.2.1</t>
  </si>
  <si>
    <t>7.6.4.3.1</t>
  </si>
  <si>
    <t>Liquid Waste Disposal and Plumbing Good Repair</t>
  </si>
  <si>
    <t>7.6.8.1.1</t>
  </si>
  <si>
    <t>Cleaning Equipment and Unnecessary Articles</t>
  </si>
  <si>
    <t>7.6.8.1.5</t>
  </si>
  <si>
    <t>7.6.8.1.6</t>
  </si>
  <si>
    <t>18C</t>
  </si>
  <si>
    <t>/7.2.3.2.1</t>
  </si>
  <si>
    <t>Decks, Bulkheads and Deckheads Cleanable</t>
  </si>
  <si>
    <t>Decks, Bulkheads and Deckheads Clean</t>
  </si>
  <si>
    <t>Decks, Bulkheads and Deckheads Good Repair</t>
  </si>
  <si>
    <t>7.6.5.9</t>
  </si>
  <si>
    <t>7.6.5.11</t>
  </si>
  <si>
    <t>7.6.5.1</t>
  </si>
  <si>
    <t>Food and Storage Preparation Prohibited Storage</t>
  </si>
  <si>
    <t>13C</t>
  </si>
  <si>
    <t>/7.1.1.2</t>
  </si>
  <si>
    <t>Food Safety Food Safety Monitoring Duties</t>
  </si>
  <si>
    <t>/7.2.3.5.1</t>
  </si>
  <si>
    <t>Food and Storage Preparation Storage Protection</t>
  </si>
  <si>
    <t>13C/</t>
  </si>
  <si>
    <t>7.1.1.2</t>
  </si>
  <si>
    <t>8.1.1.1</t>
  </si>
  <si>
    <t>Effective Control</t>
  </si>
  <si>
    <t>7.6.5.7</t>
  </si>
  <si>
    <t>Decks, Bulkheads and Deckheads Cleanable Surfaces</t>
  </si>
  <si>
    <t>VSP_Item_No</t>
  </si>
  <si>
    <t>VSP_Reference</t>
  </si>
  <si>
    <t>Operational Supplies and Application Pesticide/Rodenticide Locker</t>
  </si>
  <si>
    <t>Waste-Handling Receptacles and Containers Insect/Rodent Resistant</t>
  </si>
  <si>
    <t>Liquid Waste Disposal and Plumbing Liquid Waste Disposal</t>
  </si>
  <si>
    <t>Cleaning Equipment and Unnecessary Articles Mop Drying</t>
  </si>
  <si>
    <t>Cleaning Equipment and Unnecessary Articles Bucket Storage</t>
  </si>
  <si>
    <t>Ship Sanitation Certificate</t>
  </si>
  <si>
    <t xml:space="preserve">Miscounted Stock Equipment </t>
  </si>
  <si>
    <t>Equipment quantities were accurately recorded in the IPM log.</t>
  </si>
  <si>
    <t>Weekly</t>
  </si>
  <si>
    <t>Access</t>
  </si>
  <si>
    <t>Placement Date</t>
  </si>
  <si>
    <t>Inspection Dates</t>
  </si>
  <si>
    <t>5 Week Period</t>
  </si>
  <si>
    <t xml:space="preserve">For a 5-week period </t>
  </si>
  <si>
    <t>3-Chars</t>
  </si>
  <si>
    <t>Initials</t>
  </si>
  <si>
    <t>Post-Dated</t>
  </si>
  <si>
    <t>Reviewing</t>
  </si>
  <si>
    <t>Positioning</t>
  </si>
  <si>
    <t>Vertical</t>
  </si>
  <si>
    <t>Condition</t>
  </si>
  <si>
    <t>Assembly</t>
  </si>
  <si>
    <t>Silicon Paper</t>
  </si>
  <si>
    <t>Washdown</t>
  </si>
  <si>
    <t>Reusing</t>
  </si>
  <si>
    <t>Branded</t>
  </si>
  <si>
    <t>Stock</t>
  </si>
  <si>
    <t>Labelling</t>
  </si>
  <si>
    <t>Soiled</t>
  </si>
  <si>
    <t>Protective Wrapper</t>
  </si>
  <si>
    <t>Baseplate</t>
  </si>
  <si>
    <t>Pins</t>
  </si>
  <si>
    <t xml:space="preserve">The ship is purchasing NS supplied uv tubes. </t>
  </si>
  <si>
    <t>Installation</t>
  </si>
  <si>
    <t>There was evidence that inspections were being conducted.</t>
  </si>
  <si>
    <t xml:space="preserve">The Vector Surveillance and Control Log has been correctly completed. </t>
  </si>
  <si>
    <t xml:space="preserve">The Vector Surveillance and Control Log has been incorrectly completed. </t>
  </si>
  <si>
    <t>No vectors or invasive species have been observed.</t>
  </si>
  <si>
    <t>VSAC Log</t>
  </si>
  <si>
    <t xml:space="preserve">Mosquitoes were seen in this department.  A mosquito infestation poses a significant risk to Public Health Inspectors. The infestation is exacerbated by poor standards and practices. </t>
  </si>
  <si>
    <t xml:space="preserve">Rodents were seen in this department.  This poses a significant risk to Public Health Inspectors. The infestation is exacerbated by poor standards and practices. </t>
  </si>
  <si>
    <t>8.2.1.1.3</t>
  </si>
  <si>
    <t>8.2.1.1.4</t>
  </si>
  <si>
    <t>8.2.1.1.5</t>
  </si>
  <si>
    <t>QTN</t>
  </si>
  <si>
    <t>NCT</t>
  </si>
  <si>
    <t>The PCRO and PCO should ensure that these are always maintained for external Public Health Inspection, and that any discrepancies are corrected as soon as possible.</t>
  </si>
  <si>
    <t xml:space="preserve">Electronic filing did not meet the required standards and was not available for external Public Health Inspection. </t>
  </si>
  <si>
    <t>The PCRO and PCO should ensure that these are always maintained for external Public Health Inspection, and that any deficiencies are corrected as soon as possible.</t>
  </si>
  <si>
    <t>DOC01</t>
  </si>
  <si>
    <t>DOC02</t>
  </si>
  <si>
    <t>DOC03</t>
  </si>
  <si>
    <t>DOC04</t>
  </si>
  <si>
    <t>DOC05</t>
  </si>
  <si>
    <t>DOC06</t>
  </si>
  <si>
    <t>DOC07</t>
  </si>
  <si>
    <t>DOC08</t>
  </si>
  <si>
    <t>DOC09</t>
  </si>
  <si>
    <t>DOC10</t>
  </si>
  <si>
    <t>DOC11</t>
  </si>
  <si>
    <t>DOC12</t>
  </si>
  <si>
    <t>DOC13</t>
  </si>
  <si>
    <t>DOC14</t>
  </si>
  <si>
    <t>DOC15</t>
  </si>
  <si>
    <t>DOC16</t>
  </si>
  <si>
    <t>DOC17</t>
  </si>
  <si>
    <t>DOC18</t>
  </si>
  <si>
    <t>DOC19</t>
  </si>
  <si>
    <t>DOC20</t>
  </si>
  <si>
    <t>DOC21</t>
  </si>
  <si>
    <t>DOC22</t>
  </si>
  <si>
    <t>DOC23</t>
  </si>
  <si>
    <t>DOC24</t>
  </si>
  <si>
    <t>DOC25</t>
  </si>
  <si>
    <t>DOC26</t>
  </si>
  <si>
    <t>DOC27</t>
  </si>
  <si>
    <t>DOC28</t>
  </si>
  <si>
    <t>DOC29</t>
  </si>
  <si>
    <t>DOC30</t>
  </si>
  <si>
    <t>DOC31</t>
  </si>
  <si>
    <t>DOC32</t>
  </si>
  <si>
    <t>DOC33</t>
  </si>
  <si>
    <t>DOC34</t>
  </si>
  <si>
    <t>DOC35</t>
  </si>
  <si>
    <t>DOC36</t>
  </si>
  <si>
    <t>DOC37</t>
  </si>
  <si>
    <t>DOC38</t>
  </si>
  <si>
    <t>DOC39</t>
  </si>
  <si>
    <t>DOC40</t>
  </si>
  <si>
    <t>DOC41</t>
  </si>
  <si>
    <t>DOC42</t>
  </si>
  <si>
    <t>DOC43</t>
  </si>
  <si>
    <t>DOC44</t>
  </si>
  <si>
    <t>DOC45</t>
  </si>
  <si>
    <t>DOC46</t>
  </si>
  <si>
    <t>DOC47</t>
  </si>
  <si>
    <t>DOC48</t>
  </si>
  <si>
    <t>DOC49</t>
  </si>
  <si>
    <t>DOC50</t>
  </si>
  <si>
    <t>DOC51</t>
  </si>
  <si>
    <t>DOC52</t>
  </si>
  <si>
    <t>DOC53</t>
  </si>
  <si>
    <t>DOC54</t>
  </si>
  <si>
    <t>DOC55</t>
  </si>
  <si>
    <t>DOC56</t>
  </si>
  <si>
    <t>PCS01</t>
  </si>
  <si>
    <t>PCS02</t>
  </si>
  <si>
    <t>PCS03</t>
  </si>
  <si>
    <t>PCS04</t>
  </si>
  <si>
    <t>PCS05</t>
  </si>
  <si>
    <t>PCS06</t>
  </si>
  <si>
    <t>PCS07</t>
  </si>
  <si>
    <t>PCS08</t>
  </si>
  <si>
    <t>PCS09</t>
  </si>
  <si>
    <t>PCS10</t>
  </si>
  <si>
    <t>PCS11</t>
  </si>
  <si>
    <t>PCS12</t>
  </si>
  <si>
    <t>PCS13</t>
  </si>
  <si>
    <t>PCS14</t>
  </si>
  <si>
    <t>PCS15</t>
  </si>
  <si>
    <t>PCS16</t>
  </si>
  <si>
    <t>PCS17</t>
  </si>
  <si>
    <t>PCS18</t>
  </si>
  <si>
    <t>PCS19</t>
  </si>
  <si>
    <t>PCS20</t>
  </si>
  <si>
    <t>PCS21</t>
  </si>
  <si>
    <t>PCS22</t>
  </si>
  <si>
    <t>PCS23</t>
  </si>
  <si>
    <t>PCS24</t>
  </si>
  <si>
    <t>PCS25</t>
  </si>
  <si>
    <t>PCS26</t>
  </si>
  <si>
    <t>PCS27</t>
  </si>
  <si>
    <t>PCS28</t>
  </si>
  <si>
    <t>PCS29</t>
  </si>
  <si>
    <t>PCS30</t>
  </si>
  <si>
    <t>PCS31</t>
  </si>
  <si>
    <t>PCS32</t>
  </si>
  <si>
    <t>PCS33</t>
  </si>
  <si>
    <t>PCS34</t>
  </si>
  <si>
    <t>PCS35</t>
  </si>
  <si>
    <t>PCS36</t>
  </si>
  <si>
    <t>PCS37</t>
  </si>
  <si>
    <t>PCS38</t>
  </si>
  <si>
    <t>PCS39</t>
  </si>
  <si>
    <t>PCS40</t>
  </si>
  <si>
    <t>PCS41</t>
  </si>
  <si>
    <t>PCS42</t>
  </si>
  <si>
    <t>PCS43</t>
  </si>
  <si>
    <t>PCS44</t>
  </si>
  <si>
    <t>PCS45</t>
  </si>
  <si>
    <t>PCS46</t>
  </si>
  <si>
    <t>PCS47</t>
  </si>
  <si>
    <t>PCS48</t>
  </si>
  <si>
    <t>PCS49</t>
  </si>
  <si>
    <t>PCS50</t>
  </si>
  <si>
    <t>PCS51</t>
  </si>
  <si>
    <t>PCS52</t>
  </si>
  <si>
    <t>PCS53</t>
  </si>
  <si>
    <t>PCS54</t>
  </si>
  <si>
    <t>PCS55</t>
  </si>
  <si>
    <t>PCS56</t>
  </si>
  <si>
    <t>PCS57</t>
  </si>
  <si>
    <t>PCS58</t>
  </si>
  <si>
    <t>PCS59</t>
  </si>
  <si>
    <t>PCS60</t>
  </si>
  <si>
    <t>PCS61</t>
  </si>
  <si>
    <t>PCS62</t>
  </si>
  <si>
    <t>PCS63</t>
  </si>
  <si>
    <t>PCS64</t>
  </si>
  <si>
    <t>PCS65</t>
  </si>
  <si>
    <t>PCS66</t>
  </si>
  <si>
    <t>PCS67</t>
  </si>
  <si>
    <t>PCS68</t>
  </si>
  <si>
    <t>OBS01</t>
  </si>
  <si>
    <t>OBS02</t>
  </si>
  <si>
    <t>OBS03</t>
  </si>
  <si>
    <t>OBS04</t>
  </si>
  <si>
    <t>OBS05</t>
  </si>
  <si>
    <t>OBS06</t>
  </si>
  <si>
    <t>OBS07</t>
  </si>
  <si>
    <t>OBS08</t>
  </si>
  <si>
    <t>CRT01</t>
  </si>
  <si>
    <t>CRT02</t>
  </si>
  <si>
    <t>CRT03</t>
  </si>
  <si>
    <t>CRT04</t>
  </si>
  <si>
    <t>CRT05</t>
  </si>
  <si>
    <t>CRT06</t>
  </si>
  <si>
    <t>CRT07</t>
  </si>
  <si>
    <t>CRT08</t>
  </si>
  <si>
    <t>CRT09</t>
  </si>
  <si>
    <t>CRT10</t>
  </si>
  <si>
    <t>CRT11</t>
  </si>
  <si>
    <t>CRT12</t>
  </si>
  <si>
    <t>CRT13</t>
  </si>
  <si>
    <t>CRT14</t>
  </si>
  <si>
    <t>CRT15</t>
  </si>
  <si>
    <t>CRT16</t>
  </si>
  <si>
    <t>CRT17</t>
  </si>
  <si>
    <t>CRT18</t>
  </si>
  <si>
    <t>CRT19</t>
  </si>
  <si>
    <t>CRT20</t>
  </si>
  <si>
    <t>CRT21</t>
  </si>
  <si>
    <t>CRT22</t>
  </si>
  <si>
    <t>CRT23</t>
  </si>
  <si>
    <t>CRT24</t>
  </si>
  <si>
    <t>CRT25</t>
  </si>
  <si>
    <t>CRT26</t>
  </si>
  <si>
    <t>CRT27</t>
  </si>
  <si>
    <t>CRT28</t>
  </si>
  <si>
    <t>CRT29</t>
  </si>
  <si>
    <t>CRT30</t>
  </si>
  <si>
    <t>CRT31</t>
  </si>
  <si>
    <t>CRT32</t>
  </si>
  <si>
    <t>CRT33</t>
  </si>
  <si>
    <t>CRT34</t>
  </si>
  <si>
    <t>CRT35</t>
  </si>
  <si>
    <t>CRT36</t>
  </si>
  <si>
    <t>CRT37</t>
  </si>
  <si>
    <t>EFK01</t>
  </si>
  <si>
    <t>EFK02</t>
  </si>
  <si>
    <t>EFK03</t>
  </si>
  <si>
    <t>EFK04</t>
  </si>
  <si>
    <t>EFK05</t>
  </si>
  <si>
    <t>EFK06</t>
  </si>
  <si>
    <t>EFK07</t>
  </si>
  <si>
    <t>EFK08</t>
  </si>
  <si>
    <t>EFK09</t>
  </si>
  <si>
    <t>EFK10</t>
  </si>
  <si>
    <t>EFK11</t>
  </si>
  <si>
    <t>EFK12</t>
  </si>
  <si>
    <t>EFK13</t>
  </si>
  <si>
    <t>EFK14</t>
  </si>
  <si>
    <t>EFK15</t>
  </si>
  <si>
    <t>EFK16</t>
  </si>
  <si>
    <t>EFK17</t>
  </si>
  <si>
    <t>EFK18</t>
  </si>
  <si>
    <t>EFK19</t>
  </si>
  <si>
    <t>EFK20</t>
  </si>
  <si>
    <t>EFK21</t>
  </si>
  <si>
    <t>EFK22</t>
  </si>
  <si>
    <t>EFK23</t>
  </si>
  <si>
    <t>EFK24</t>
  </si>
  <si>
    <t>EFK25</t>
  </si>
  <si>
    <t>EFK26</t>
  </si>
  <si>
    <t>EFK27</t>
  </si>
  <si>
    <t>STDFOOD01</t>
  </si>
  <si>
    <t>STDFOOD02</t>
  </si>
  <si>
    <t>STDFOOD03</t>
  </si>
  <si>
    <t>STDFOOD04</t>
  </si>
  <si>
    <t>STDFOOD05</t>
  </si>
  <si>
    <t>STDWASTE01</t>
  </si>
  <si>
    <t>STDWASTE02</t>
  </si>
  <si>
    <t>STDWASTE03</t>
  </si>
  <si>
    <t>STDWASTE04</t>
  </si>
  <si>
    <t>STDWASTE05</t>
  </si>
  <si>
    <t>STDEXCL01</t>
  </si>
  <si>
    <t>STDDECK01</t>
  </si>
  <si>
    <t>STDEXCL02</t>
  </si>
  <si>
    <t>STDEXCL03</t>
  </si>
  <si>
    <t>STDPLUMB01</t>
  </si>
  <si>
    <t>STDPLUMB02</t>
  </si>
  <si>
    <t>STDPLUMB03</t>
  </si>
  <si>
    <t>STDPLUMB04</t>
  </si>
  <si>
    <t>STDDECK02</t>
  </si>
  <si>
    <t>STDMOP01</t>
  </si>
  <si>
    <t>STDMOP02</t>
  </si>
  <si>
    <t>STDMOP03</t>
  </si>
  <si>
    <t xml:space="preserve">Department Inspections </t>
  </si>
  <si>
    <t>PROVDECXXX</t>
  </si>
  <si>
    <t>RG01</t>
  </si>
  <si>
    <t>RG02</t>
  </si>
  <si>
    <t>RG03</t>
  </si>
  <si>
    <t>RG04</t>
  </si>
  <si>
    <t>RG05</t>
  </si>
  <si>
    <t>RG06</t>
  </si>
  <si>
    <t>RG07</t>
  </si>
  <si>
    <t>RG08</t>
  </si>
  <si>
    <t>RG09</t>
  </si>
  <si>
    <t>RG10</t>
  </si>
  <si>
    <t>RG11</t>
  </si>
  <si>
    <t>RG12</t>
  </si>
  <si>
    <t>RG13</t>
  </si>
  <si>
    <t>RG14</t>
  </si>
  <si>
    <t>RG15</t>
  </si>
  <si>
    <t>RG16</t>
  </si>
  <si>
    <t>RG17</t>
  </si>
  <si>
    <t>RG18</t>
  </si>
  <si>
    <t>RG19</t>
  </si>
  <si>
    <t>RG20</t>
  </si>
  <si>
    <t>RG21</t>
  </si>
  <si>
    <t>RG22</t>
  </si>
  <si>
    <t>RG23</t>
  </si>
  <si>
    <t>RG24</t>
  </si>
  <si>
    <t>RG25</t>
  </si>
  <si>
    <t>RG26</t>
  </si>
  <si>
    <t>VSAC01</t>
  </si>
  <si>
    <t>VSAC02</t>
  </si>
  <si>
    <t>VSAC03</t>
  </si>
  <si>
    <t>No further comment.</t>
  </si>
  <si>
    <t>PCRO/PCO Test Text! 11</t>
  </si>
  <si>
    <t>PCRO/PCO Test Text! 12</t>
  </si>
  <si>
    <t>PCRO/PCO Test Text! 13</t>
  </si>
  <si>
    <t>PCRO/PCO Test Text! 14</t>
  </si>
  <si>
    <t>PCRO/PCO Test Text! 15</t>
  </si>
  <si>
    <t>PCRO/PCO Test Text! 16</t>
  </si>
  <si>
    <t>PCRO/PCO Test Text! 17</t>
  </si>
  <si>
    <t>PCRO/PCO Test Text! 18</t>
  </si>
  <si>
    <t>PCRO/PCO Test Text! 19</t>
  </si>
  <si>
    <t>PCRO/PCO Test Text! 20</t>
  </si>
  <si>
    <t>PCRO/PCO Test Text! 21</t>
  </si>
  <si>
    <t>PCRO/PCO Test Text! 22</t>
  </si>
  <si>
    <t>PCRO/PCO Test Text! 23</t>
  </si>
  <si>
    <t>PCRO/PCO Test Text! 24</t>
  </si>
  <si>
    <t>PCRO/PCO Test Text! 25</t>
  </si>
  <si>
    <t>PCRO/PCO Test Text! 26</t>
  </si>
  <si>
    <t>PCRO/PCO Test Text! 27</t>
  </si>
  <si>
    <t>PCRO/PCO Test Text! 28</t>
  </si>
  <si>
    <t>PCRO/PCO Test Text! 29</t>
  </si>
  <si>
    <t>PCRO/PCO Test Text! 30</t>
  </si>
  <si>
    <t>PCRO/PCO Test Text! 31</t>
  </si>
  <si>
    <t>PCRO/PCO Test Text! 32</t>
  </si>
  <si>
    <t>PCRO/PCO Test Text! 33</t>
  </si>
  <si>
    <t>PCRO/PCO Test Text! 34</t>
  </si>
  <si>
    <t>PCRO/PCO Test Text! 35</t>
  </si>
  <si>
    <t>PCRO/PCO Test Text! 36</t>
  </si>
  <si>
    <t>PCRO/PCO Test Text! 37</t>
  </si>
  <si>
    <t>PCRO/PCO Test Text! 38</t>
  </si>
  <si>
    <t>PCRO/PCO Test Text! 39</t>
  </si>
  <si>
    <t>PCRO/PCO Test Text! 40</t>
  </si>
  <si>
    <t>PCRO/PCO Test Text! 41</t>
  </si>
  <si>
    <t>PCRO/PCO Test Text! 42</t>
  </si>
  <si>
    <t>PCRO/PCO Test Text! 43</t>
  </si>
  <si>
    <t>PCRO/PCO Test Text! 44</t>
  </si>
  <si>
    <t>PCRO/PCO Test Text! 45</t>
  </si>
  <si>
    <t>PCRO/PCO Test Text! 46</t>
  </si>
  <si>
    <t>PCRO/PCO Test Text! 47</t>
  </si>
  <si>
    <t>PCRO/PCO Test Text! 48</t>
  </si>
  <si>
    <t>PCRO/PCO Test Text! 49</t>
  </si>
  <si>
    <t>PCRO/PCO Test Text! 50</t>
  </si>
  <si>
    <t>PCRO/PCO Test Text! 51</t>
  </si>
  <si>
    <t>PCRO/PCO Test Text! 52</t>
  </si>
  <si>
    <t>PCRO/PCO Test Text! 53</t>
  </si>
  <si>
    <t>PCRO/PCO Test Text! 54</t>
  </si>
  <si>
    <t>PCRO/PCO Test Text! 55</t>
  </si>
  <si>
    <t>PCRO/PCO Test Text! 56</t>
  </si>
  <si>
    <t>PCRO/PCO Test Text! 57</t>
  </si>
  <si>
    <t>PCRO/PCO Test Text! 58</t>
  </si>
  <si>
    <t>PCRO/PCO Test Text! 59</t>
  </si>
  <si>
    <t>PCRO/PCO Test Text! 60</t>
  </si>
  <si>
    <t>PCRO/PCO Test Text! 61</t>
  </si>
  <si>
    <t>PCRO/PCO Test Text! 62</t>
  </si>
  <si>
    <t>PCRO/PCO Test Text! 63</t>
  </si>
  <si>
    <t>PCRO/PCO Test Text! 64</t>
  </si>
  <si>
    <t>PCRO/PCO Test Text! 65</t>
  </si>
  <si>
    <t>PCRO/PCO Test Text! 66</t>
  </si>
  <si>
    <t>PCRO/PCO Test Text! 67</t>
  </si>
  <si>
    <t>PCRO/PCO Test Text! 68</t>
  </si>
  <si>
    <t>PCRO/PCO Test Text! 69</t>
  </si>
  <si>
    <t>PCRO/PCO Test Text! 70</t>
  </si>
  <si>
    <t>PCRO/PCO Test Text! 71</t>
  </si>
  <si>
    <t>PCRO/PCO Test Text! 72</t>
  </si>
  <si>
    <t>PCRO/PCO Test Text! 73</t>
  </si>
  <si>
    <t>PCRO/PCO Test Text! 74</t>
  </si>
  <si>
    <t>PCRO/PCO Test Text! 75</t>
  </si>
  <si>
    <t>PCRO/PCO Test Text! 76</t>
  </si>
  <si>
    <t>PCRO/PCO Test Text! 77</t>
  </si>
  <si>
    <t>PCRO/PCO Test Text! 78</t>
  </si>
  <si>
    <t>PCRO/PCO Test Text! 79</t>
  </si>
  <si>
    <t>PCRO/PCO Test Text! 80</t>
  </si>
  <si>
    <t>PCRO/PCO Test Text! 81</t>
  </si>
  <si>
    <t>PCRO/PCO Test Text! 82</t>
  </si>
  <si>
    <t>PCRO/PCO Test Text! 83</t>
  </si>
  <si>
    <t>PCRO/PCO Test Text! 84</t>
  </si>
  <si>
    <t>PCRO/PCO Test Text! 85</t>
  </si>
  <si>
    <t>PCRO/PCO Test Text! 86</t>
  </si>
  <si>
    <t>PCRO/PCO Test Text! 87</t>
  </si>
  <si>
    <t>PCRO/PCO Test Text! 88</t>
  </si>
  <si>
    <t>PCRO/PCO Test Text! 89</t>
  </si>
  <si>
    <t>PCRO/PCO Test Text! 90</t>
  </si>
  <si>
    <t>PCRO/PCO Test Text! 91</t>
  </si>
  <si>
    <t>PCRO/PCO Test Text! 92</t>
  </si>
  <si>
    <t>PCRO/PCO Test Text! 93</t>
  </si>
  <si>
    <t>PCRO/PCO Test Text! 94</t>
  </si>
  <si>
    <t>PCRO/PCO Test Text! 95</t>
  </si>
  <si>
    <t>PCRO/PCO Test Text! 96</t>
  </si>
  <si>
    <t>PCRO/PCO Test Text! 97</t>
  </si>
  <si>
    <t>PCRO/PCO Test Text! 98</t>
  </si>
  <si>
    <t>PCRO/PCO Test Text! 99</t>
  </si>
  <si>
    <t>PCRO/PCO Test Text! 100</t>
  </si>
  <si>
    <t>PCRO/PCO Test Text! 101</t>
  </si>
  <si>
    <t>PCRO/PCO Test Text! 102</t>
  </si>
  <si>
    <t>PCRO/PCO Test Text! 103</t>
  </si>
  <si>
    <t>PCRO/PCO Test Text! 104</t>
  </si>
  <si>
    <t>PCRO/PCO Test Text! 105</t>
  </si>
  <si>
    <t>PCRO/PCO Test Text! 106</t>
  </si>
  <si>
    <t>PCRO/PCO Test Text! 107</t>
  </si>
  <si>
    <t>PCRO/PCO Test Text! 108</t>
  </si>
  <si>
    <t>PCRO/PCO Test Text! 109</t>
  </si>
  <si>
    <t>PCRO/PCO Test Text! 110</t>
  </si>
  <si>
    <t>PCRO/PCO Test Text! 111</t>
  </si>
  <si>
    <t>PCRO/PCO Test Text! 112</t>
  </si>
  <si>
    <t>PCRO/PCO Test Text! 113</t>
  </si>
  <si>
    <t>PCRO/PCO Test Text! 114</t>
  </si>
  <si>
    <t>PCRO/PCO Test Text! 115</t>
  </si>
  <si>
    <t>PCRO/PCO Test Text! 116</t>
  </si>
  <si>
    <t>PCRO/PCO Test Text! 117</t>
  </si>
  <si>
    <t>PCRO/PCO Test Text! 118</t>
  </si>
  <si>
    <t>PCRO/PCO Test Text! 119</t>
  </si>
  <si>
    <t>PCRO/PCO Test Text! 120</t>
  </si>
  <si>
    <t>PCRO/PCO Test Text! 121</t>
  </si>
  <si>
    <t>PCRO/PCO Test Text! 122</t>
  </si>
  <si>
    <t>PCRO/PCO Test Text! 123</t>
  </si>
  <si>
    <t>PCRO/PCO Test Text! 124</t>
  </si>
  <si>
    <t>PCRO/PCO Test Text! 125</t>
  </si>
  <si>
    <t>PCRO/PCO Test Text! 126</t>
  </si>
  <si>
    <t>PCRO/PCO Test Text! 127</t>
  </si>
  <si>
    <t>PCRO/PCO Test Text! 128</t>
  </si>
  <si>
    <t>PCRO/PCO Test Text! 129</t>
  </si>
  <si>
    <t>PCRO/PCO Test Text! 130</t>
  </si>
  <si>
    <t>PCRO/PCO Test Text! 131</t>
  </si>
  <si>
    <t>PCRO/PCO Test Text! 132</t>
  </si>
  <si>
    <t>PCRO/PCO Test Text! 133</t>
  </si>
  <si>
    <t>PCRO/PCO Test Text! 134</t>
  </si>
  <si>
    <t>PCRO/PCO Test Text! 135</t>
  </si>
  <si>
    <t>PCRO/PCO Test Text! 136</t>
  </si>
  <si>
    <t>PCRO/PCO Test Text! 137</t>
  </si>
  <si>
    <t>PCRO/PCO Test Text! 138</t>
  </si>
  <si>
    <t>PCRO/PCO Test Text! 139</t>
  </si>
  <si>
    <t>PCRO/PCO Test Text! 140</t>
  </si>
  <si>
    <t>PCRO/PCO Test Text! 141</t>
  </si>
  <si>
    <t>PCRO/PCO Test Text! 142</t>
  </si>
  <si>
    <t>PCRO/PCO Test Text! 143</t>
  </si>
  <si>
    <t>PCRO/PCO Test Text! 144</t>
  </si>
  <si>
    <t>PCRO/PCO Test Text! 145</t>
  </si>
  <si>
    <t>PCRO/PCO Test Text! 146</t>
  </si>
  <si>
    <t>PCRO/PCO Test Text! 147</t>
  </si>
  <si>
    <t>PCRO/PCO Test Text! 148</t>
  </si>
  <si>
    <t>PCRO/PCO Test Text! 149</t>
  </si>
  <si>
    <t>PCRO/PCO Test Text! 150</t>
  </si>
  <si>
    <t>PCRO/PCO Test Text! 151</t>
  </si>
  <si>
    <t>PCRO/PCO Test Text! 152</t>
  </si>
  <si>
    <t>PCRO/PCO Test Text! 153</t>
  </si>
  <si>
    <t>PCRO/PCO Test Text! 154</t>
  </si>
  <si>
    <t>PCRO/PCO Test Text! 155</t>
  </si>
  <si>
    <t>PCRO/PCO Test Text! 156</t>
  </si>
  <si>
    <t>PCRO/PCO Test Text! 157</t>
  </si>
  <si>
    <t>PCRO/PCO Test Text! 158</t>
  </si>
  <si>
    <t>PCRO/PCO Test Text! 159</t>
  </si>
  <si>
    <t>PCRO/PCO Test Text! 160</t>
  </si>
  <si>
    <t>PCRO/PCO Test Text! 161</t>
  </si>
  <si>
    <t>PCRO/PCO Test Text! 162</t>
  </si>
  <si>
    <t>PCRO/PCO Test Text! 163</t>
  </si>
  <si>
    <t>PCRO/PCO Test Text! 164</t>
  </si>
  <si>
    <t>PCRO/PCO Test Text! 165</t>
  </si>
  <si>
    <t>PCRO/PCO Test Text! 166</t>
  </si>
  <si>
    <t>PCRO/PCO Test Text! 167</t>
  </si>
  <si>
    <t>PCRO/PCO Test Text! 168</t>
  </si>
  <si>
    <t>PCRO/PCO Test Text! 169</t>
  </si>
  <si>
    <t>PCRO/PCO Test Text! 170</t>
  </si>
  <si>
    <t>PCRO/PCO Test Text! 171</t>
  </si>
  <si>
    <t>PCRO/PCO Test Text! 172</t>
  </si>
  <si>
    <t>PCRO/PCO Test Text! 173</t>
  </si>
  <si>
    <t>PCRO/PCO Test Text! 174</t>
  </si>
  <si>
    <t>PCRO/PCO Test Text! 175</t>
  </si>
  <si>
    <t>PCRO/PCO Test Text! 176</t>
  </si>
  <si>
    <t>PCRO/PCO Test Text! 177</t>
  </si>
  <si>
    <t>PCRO/PCO Test Text! 178</t>
  </si>
  <si>
    <t>PCRO/PCO Test Text! 179</t>
  </si>
  <si>
    <t>PCRO/PCO Test Text! 180</t>
  </si>
  <si>
    <t>PCRO/PCO Test Text! 181</t>
  </si>
  <si>
    <t>PCRO/PCO Test Text! 182</t>
  </si>
  <si>
    <t>PCRO/PCO Test Text! 183</t>
  </si>
  <si>
    <t>PCRO/PCO Test Text! 184</t>
  </si>
  <si>
    <t>PCRO/PCO Test Text! 185</t>
  </si>
  <si>
    <t>PCRO/PCO Test Text! 186</t>
  </si>
  <si>
    <t>PCRO/PCO Test Text! 187</t>
  </si>
  <si>
    <t>PCRO/PCO Test Text! 188</t>
  </si>
  <si>
    <t>PCRO/PCO Test Text! 189</t>
  </si>
  <si>
    <t>PCRO/PCO Test Text! 190</t>
  </si>
  <si>
    <t>PCRO/PCO Test Text! 191</t>
  </si>
  <si>
    <t>PCRO/PCO Test Text! 192</t>
  </si>
  <si>
    <t>PCRO/PCO Test Text! 193</t>
  </si>
  <si>
    <t>PCRO/PCO Test Text! 194</t>
  </si>
  <si>
    <t>PCRO/PCO Test Text! 195</t>
  </si>
  <si>
    <t>PCRO/PCO Test Text! 196</t>
  </si>
  <si>
    <t>PCRO/PCO Test Text! 197</t>
  </si>
  <si>
    <t>PCRO/PCO Test Text! 198</t>
  </si>
  <si>
    <t>PCRO/PCO Test Text! 199</t>
  </si>
  <si>
    <t>PCRO/PCO Test Text! 200</t>
  </si>
  <si>
    <t>PCRO/PCO Test Text! 201</t>
  </si>
  <si>
    <t>PCRO/PCO Test Text! 202</t>
  </si>
  <si>
    <t>PCRO/PCO Test Text! 203</t>
  </si>
  <si>
    <t>PCRO/PCO Test Text! 204</t>
  </si>
  <si>
    <t>PCRO/PCO Test Text! 205</t>
  </si>
  <si>
    <t>PCRO/PCO Test Text! 206</t>
  </si>
  <si>
    <t>PCRO/PCO Test Text! 207</t>
  </si>
  <si>
    <t>PCRO/PCO Test Text! 208</t>
  </si>
  <si>
    <t>PCRO/PCO Test Text! 209</t>
  </si>
  <si>
    <t>PCRO/PCO Test Text! 210</t>
  </si>
  <si>
    <t>PCRO/PCO Test Text! 211</t>
  </si>
  <si>
    <t>PCRO/PCO Test Text! 212</t>
  </si>
  <si>
    <t>PCRO/PCO Test Text! 213</t>
  </si>
  <si>
    <t>PCRO/PCO Test Text! 214</t>
  </si>
  <si>
    <t>PCRO/PCO Test Text! 215</t>
  </si>
  <si>
    <t>PCRO/PCO Test Text! 216</t>
  </si>
  <si>
    <t>PCRO/PCO Test Text! 217</t>
  </si>
  <si>
    <t>PCRO/PCO Test Text! 218</t>
  </si>
  <si>
    <t>PCRO/PCO Test Text! 219</t>
  </si>
  <si>
    <t>PCRO/PCO Test Text! 220</t>
  </si>
  <si>
    <t>PCRO/PCO Test Text! 221</t>
  </si>
  <si>
    <t>PCRO/PCO Test Text! 222</t>
  </si>
  <si>
    <t>PCRO/PCO Test Text! 223</t>
  </si>
  <si>
    <t>PCRO/PCO Test Text! 224</t>
  </si>
  <si>
    <t>PCRO/PCO Test Text! 225</t>
  </si>
  <si>
    <t>PCRO/PCO Test Text! 226</t>
  </si>
  <si>
    <t>PCRO/PCO Test Text! 227</t>
  </si>
  <si>
    <t>PCRO/PCO Test Text! 228</t>
  </si>
  <si>
    <t>PCRO/PCO Test Text! 229</t>
  </si>
  <si>
    <t>PCRO/PCO Test Text! 230</t>
  </si>
  <si>
    <t>PCRO/PCO Test Text! 231</t>
  </si>
  <si>
    <t>PCRO/PCO Test Text! 232</t>
  </si>
  <si>
    <t>PCRO/PCO Test Text! 233</t>
  </si>
  <si>
    <t>PCRO/PCO Test Text! 234</t>
  </si>
  <si>
    <t>PCRO/PCO Test Text! 235</t>
  </si>
  <si>
    <t>PCRO/PCO Test Text! 236</t>
  </si>
  <si>
    <t>PCRO/PCO Test Text! 237</t>
  </si>
  <si>
    <t>PCRO/PCO Test Text! 238</t>
  </si>
  <si>
    <t>PCRO/PCO Test Text! 239</t>
  </si>
  <si>
    <t>PCRO/PCO Test Text! 240</t>
  </si>
  <si>
    <t>PCRO/PCO Test Text! 241</t>
  </si>
  <si>
    <t>PCRO/PCO Test Text! 242</t>
  </si>
  <si>
    <t>PCRO/PCO Test Text! 243</t>
  </si>
  <si>
    <t>PCRO/PCO Test Text! 244</t>
  </si>
  <si>
    <t>PCRO/PCO Test Text! 245</t>
  </si>
  <si>
    <t>PCRO/PCO Test Text! 246</t>
  </si>
  <si>
    <t>PCRO/PCO Test Text! 247</t>
  </si>
  <si>
    <t>PCRO/PCO Test Text! 248</t>
  </si>
  <si>
    <t>PCRO/PCO Test Text! 249</t>
  </si>
  <si>
    <t>PCRO/PCO Test Text! 250</t>
  </si>
  <si>
    <t>PCRO/PCO Test Text! 251</t>
  </si>
  <si>
    <t>PCRO/PCO Test Text! 252</t>
  </si>
  <si>
    <t>PCRO/PCO Test Text! 253</t>
  </si>
  <si>
    <t>PCRO/PCO Test Text! 254</t>
  </si>
  <si>
    <t>PCRO/PCO Test Text! 255</t>
  </si>
  <si>
    <t>PCRO/PCO Test Text! 256</t>
  </si>
  <si>
    <t>PCRO/PCO Test Text! 257</t>
  </si>
  <si>
    <t>PCRO/PCO Test Text! 258</t>
  </si>
  <si>
    <t>PCRO/PCO Test Text! 259</t>
  </si>
  <si>
    <t>PCRO/PCO Test Text! 260</t>
  </si>
  <si>
    <t>PCRO/PCO Test Text! 261</t>
  </si>
  <si>
    <t>PCRO/PCO Test Text! 262</t>
  </si>
  <si>
    <t>PCRO/PCO Test Text! 263</t>
  </si>
  <si>
    <t>PCRO/PCO Test Text! 264</t>
  </si>
  <si>
    <t>PCRO/PCO Test Text! 265</t>
  </si>
  <si>
    <t>PCRO/PCO Test Text! 266</t>
  </si>
  <si>
    <t>PCRO/PCO Test Text! 267</t>
  </si>
  <si>
    <t>PCRO/PCO Test Text! 268</t>
  </si>
  <si>
    <t>PCRO/PCO Test Text! 269</t>
  </si>
  <si>
    <t>PCRO/PCO Test Text! 270</t>
  </si>
  <si>
    <t>PCRO/PCO Test Text! 271</t>
  </si>
  <si>
    <t>PCRO/PCO Test Text! 272</t>
  </si>
  <si>
    <t>PCRO/PCO Test Text! 273</t>
  </si>
  <si>
    <t>PCRO/PCO Test Text! 274</t>
  </si>
  <si>
    <t>PCRO/PCO Test Text! 275</t>
  </si>
  <si>
    <t>PCRO/PCO Test Text! 276</t>
  </si>
  <si>
    <t>PCRO/PCO Test Text! 277</t>
  </si>
  <si>
    <t>PCRO/PCO Test Text! 278</t>
  </si>
  <si>
    <t>PCRO/PCO Test Text! 279</t>
  </si>
  <si>
    <t>PCRO/PCO Test Text! 280</t>
  </si>
  <si>
    <t>PCRO/PCO Test Text! 281</t>
  </si>
  <si>
    <t>PCRO/PCO Test Text! 282</t>
  </si>
  <si>
    <t>PCRO/PCO Test Text! 283</t>
  </si>
  <si>
    <t>PCRO/PCO Test Text! 284</t>
  </si>
  <si>
    <t>PCRO/PCO Test Text! 285</t>
  </si>
  <si>
    <t>PCRO/PCO Test Text! 286</t>
  </si>
  <si>
    <t>PCRO/PCO Test Text! 287</t>
  </si>
  <si>
    <t>PCRO/PCO Test Text! 288</t>
  </si>
  <si>
    <t>PCRO/PCO Test Text! 289</t>
  </si>
  <si>
    <t>PCRO/PCO Test Text! 290</t>
  </si>
  <si>
    <t>PCRO/PCO Test Text! 291</t>
  </si>
  <si>
    <t>PCRO/PCO Test Text! 292</t>
  </si>
  <si>
    <t>PCRO/PCO Test Text! 293</t>
  </si>
  <si>
    <t>PCRO/PCO Test Text! 294</t>
  </si>
  <si>
    <t>PCRO/PCO Test Text! 295</t>
  </si>
  <si>
    <t>PCRO/PCO Test Text! 296</t>
  </si>
  <si>
    <t>PCRO/PCO Test Text! 297</t>
  </si>
  <si>
    <t>PCRO/PCO Test Text! 298</t>
  </si>
  <si>
    <t>PCRO/PCO Test Text! 299</t>
  </si>
  <si>
    <t>PCRO/PCO Test Text! 300</t>
  </si>
  <si>
    <t>PCRO/PCO Test Text! 301</t>
  </si>
  <si>
    <t>PCRO/PCO Test Text! 302</t>
  </si>
  <si>
    <t>PCRO/PCO Test Text! 303</t>
  </si>
  <si>
    <t>PCRO/PCO Test Text! 304</t>
  </si>
  <si>
    <t>PCRO/PCO Test Text! 305</t>
  </si>
  <si>
    <t>PCRO/PCO Test Text! 306</t>
  </si>
  <si>
    <t>PCRO/PCO Test Text! 307</t>
  </si>
  <si>
    <t>PCRO/PCO Test Text! 308</t>
  </si>
  <si>
    <t>PCRO/PCO Test Text! 309</t>
  </si>
  <si>
    <t>PCRO/PCO Test Text! 310</t>
  </si>
  <si>
    <t>PCRO/PCO Test Text! 311</t>
  </si>
  <si>
    <t>PCRO/PCO Test Text! 312</t>
  </si>
  <si>
    <t>PCRO/PCO Test Text! 313</t>
  </si>
  <si>
    <t>PCRO/PCO Test Text! 314</t>
  </si>
  <si>
    <t>Departments</t>
  </si>
  <si>
    <t>Department Standards</t>
  </si>
  <si>
    <t>Provision Standards</t>
  </si>
  <si>
    <t>Provisions</t>
  </si>
  <si>
    <t>Recycling Centre</t>
  </si>
  <si>
    <t>Deck</t>
  </si>
  <si>
    <t>Rat Guard Standards</t>
  </si>
  <si>
    <t>Bunkering Standards</t>
  </si>
  <si>
    <t>Vector Surveillance and Control Standards</t>
  </si>
  <si>
    <t>CRT</t>
  </si>
  <si>
    <t>EFK</t>
  </si>
  <si>
    <t>All electronic filing was available for inspection and in good order.</t>
  </si>
  <si>
    <t>All hardcopy folders, if used, were available for inspection and well-maintained.</t>
  </si>
  <si>
    <t xml:space="preserve">Not all hardcopy folders, if used, were available for external Public Health Inspection. </t>
  </si>
  <si>
    <t>The IPM Log Dashboard or relevant activity was neither filed nor available to external Public Health Inspectors. Nutrastat recommends that only the Dashboard sheet and the respective sheets showing any flagged activity be filed. If a visiting public health inspector wishes to view the IPM log in its entirety, the PCO can show them in the electronic folders. Log completion training videos are available on the shared drive. Nutrastat IPM \ Nutrastat IPM-IPM Plan \ Nutrastat TV (NSTV) \ IPM Log.</t>
  </si>
  <si>
    <t>Total Rodent Clearance logs and plans were not completed to the required standards. TRC requires a plan detailing where the rodent traps have been placed.   Logs and plans provide evidence to Public Health Inspectors and demonstrate that the ship is following the correct procedures to eradicate any infestation. Please review the IPM Plan documentation: Nutrastat IPM\Nutrastat IPM - IPM Plan\Treatments\Treatment (Rodent)NRS Treatments Rodent Procedures.</t>
  </si>
  <si>
    <t>The training folder is complete and available for external Public Health Inspections.</t>
  </si>
  <si>
    <t>The training folder was incomplete or unavailable for external Public Health Inspections. This folder should be available, as it provides relevant evidence of training to external Public Health Inspectors. Failure to maintain complete and accurate records can result in non-compliance.</t>
  </si>
  <si>
    <t>N/A IPM Best Practice</t>
  </si>
  <si>
    <t>Text_Icons</t>
  </si>
  <si>
    <t>Ordinal</t>
  </si>
  <si>
    <t>Criteria:</t>
  </si>
  <si>
    <t>The Pest Control Responsible Officer (PCRO) takes responsibility on behalf of the Captain/Master for the Integrated Pest Management standards on the ship, liaising with the Pest Control Officer (PCO) who undertakes the day-to-day management of the IPM Plan. The PCO also liaises with the Department Heads to ensure that they follow the IPM Plan, undertaking:&amp;bull;Cockroach Trap Monitoring&amp;bull;Electric Fly Killer Weekly Count&amp;bull;Active Weekly Pest Inspections&amp;bull;Deliveries Inspections</t>
  </si>
  <si>
    <t>Public Health Authorities require IPM Documentation to be complete and available on request. The PCRO or PCO should be able to provide documentation for the last 12 months, except for IPM training, which should include all training completed in the previous 3 years.&lt;br&gt;&lt;br&gt;Whilst Worldwide Public Health now accepts electronic filing, Nutrastat still recommends hardcopy folders due to the frequency of some of our contract ships losing valuable files, often resulting from server and/or backup failures, or the IT Department's purging of files to recover network drive storage space. However, if the ship only wishes to undertake electronic filing, this is acceptable and physical documents will not be audited.&lt;br&gt;&lt;br&gt;However, if hardcopy folders are maintained, it is recommended that all hardcopy folders be stored in one location for easy access to show visiting Public Health Authorities, and that all electronic files be available at the same time.</t>
  </si>
  <si>
    <t>Public Health and IPM Best Practice require a pest control locker to be available for the storage of professional IPM chemicals and equipment, which should have signed, restricted access, always be locked, and not be situated in a food area.</t>
  </si>
  <si>
    <t>It is a public health requirement that electric fly killers installed in a department are correctly serviced &amp; maintained. Weekly fly count, UV tubes, and glue boards are replaced on schedule according to the IPM Plan.</t>
  </si>
  <si>
    <t>In 2017, the electrical industry mandated the phase-out of Phosphor UV lamps by 2027, requiring all consumers to use Light Emitting Diode (LED) lamps instead. Phosphor Ultraviolet (UV) lamp production will cease as follows:&amp;bull; Single-ended Phosphor           February 2025 (Already ceased production)&amp;bull; Double-ended Phosphor         February 2027&lt;br&gt;&lt;br&gt;Although there may be stockpiling of the UV tubes, consider starting to replace all the current fluorescent models with LED models, with the following benefits: &amp;bull; LED UV lamps. However, appearing dimmer, they are, on average, 20% more attractive to flies. &amp;bull; Average phosphor UV lamps go from 15 watts to 4 watts LED, about 70% power saving.&amp;bull; LED UV lamps are changed every two years rather than six months; this is a significant cost and time-saving for the electrician. &amp;bull; The ballast is in the UV tubes rather than the fly killer. Every UV lamp change, you effectively get a new Electric Fly Killer.</t>
  </si>
  <si>
    <t>It is a public health requirement to monitor any high-risk area for insect pests using sticky monitoring traps, although not all departments will have these traps, especially if there is no food present.</t>
  </si>
  <si>
    <t>Exemplary installation of correctly sized rat guards on forward, aft, and bunker lines is essential, as if a rodent (rat or mouse) comes on board, this immediately compromises the Ship Sanitation Control Exemption Certificate (formerly known as a De-Rat Certificate). Public Health Authorities require being informed about such infestations, and in some countries, ships may be fined if they do not protect all mooring and spring lines with rat guards.</t>
  </si>
  <si>
    <t>Good IPM standards should be maintained, with personnel promptly reporting any pest issues and logging them.</t>
  </si>
  <si>
    <t>CRITSTDDEPT</t>
  </si>
  <si>
    <t>CRITDOCRESPONSIBILITIES</t>
  </si>
  <si>
    <t>CRITDOCDOCUMENTATION</t>
  </si>
  <si>
    <t>CRITPCSSTORE</t>
  </si>
  <si>
    <t>CRITSTDEFK</t>
  </si>
  <si>
    <t>CRITSTDLED</t>
  </si>
  <si>
    <t>General</t>
  </si>
  <si>
    <t>CRITSTDCRT</t>
  </si>
  <si>
    <t>CRITSTDRG</t>
  </si>
  <si>
    <t>Text</t>
  </si>
  <si>
    <t>The IPM Plan Management department is unique, where the Pest Control Responsible Officer (PCRO) takes responsibility for the pest levels on the ship on behalf of the Captain. &lt;br&gt;&lt;br&gt;The designated Pest Control Officer (Pest Control Officer) maintains the IPM Plan on behalf of the PCRO, liaising with the relevant department heads to ensure that all pest sightings are reported and recorded in the IPM Log. The Pco should also ensure that all hardcopy folders or electronic IPM filing is maintained.</t>
  </si>
  <si>
    <t>TEXTIPMMANDEPT</t>
  </si>
  <si>
    <t>Block_Ref</t>
  </si>
  <si>
    <t>TEXTPESTOBS</t>
  </si>
  <si>
    <t>The following tables gives the current pest issues seen during this audit.</t>
  </si>
  <si>
    <t>BLOCK_DOC</t>
  </si>
  <si>
    <t>BLOCK_STORE</t>
  </si>
  <si>
    <t>BLOCK_OBS</t>
  </si>
  <si>
    <t>BLOCK_CRT</t>
  </si>
  <si>
    <t>BLOCK_EFK</t>
  </si>
  <si>
    <t>BLOCK_STD</t>
  </si>
  <si>
    <t>BLOCK_PROV</t>
  </si>
  <si>
    <t>BLOCK_RECYCLE</t>
  </si>
  <si>
    <t>BLOCK_RG</t>
  </si>
  <si>
    <t>BLOCK_RG_BUNK</t>
  </si>
  <si>
    <t>BLOCK_VSAC</t>
  </si>
  <si>
    <t>TEXTTESTHD</t>
  </si>
  <si>
    <t>Test Heading</t>
  </si>
  <si>
    <t>TEXTHDGALLEY</t>
  </si>
  <si>
    <t>TEXTHDMESSES</t>
  </si>
  <si>
    <t>TEXTHDBARS</t>
  </si>
  <si>
    <t>TEXTHDPROV</t>
  </si>
  <si>
    <t>TEXTHDHK</t>
  </si>
  <si>
    <t>TEXTHDLAUNDRY</t>
  </si>
  <si>
    <t>TEXTHDDECK</t>
  </si>
  <si>
    <t>TEXTHDTECH</t>
  </si>
  <si>
    <t>Galley</t>
  </si>
  <si>
    <t>Messes</t>
  </si>
  <si>
    <t>Bars</t>
  </si>
  <si>
    <t>Laundry</t>
  </si>
  <si>
    <t>Provisions/Stores</t>
  </si>
  <si>
    <t>Housekeeping</t>
  </si>
  <si>
    <t>Technical</t>
  </si>
  <si>
    <t>Template</t>
  </si>
  <si>
    <t>Audit Report</t>
  </si>
  <si>
    <t>Criteria</t>
  </si>
  <si>
    <t>List_Criteria</t>
  </si>
  <si>
    <t>This is the follow-up text after the test heading.</t>
  </si>
  <si>
    <t>Short_Code</t>
  </si>
  <si>
    <t>ARTEMPLATE</t>
  </si>
  <si>
    <t>TEXTHDIPMPLANDEPT</t>
  </si>
  <si>
    <t>DOCHARDCOPY</t>
  </si>
  <si>
    <t>DOCELECTRIC</t>
  </si>
  <si>
    <t>DOCDASHBOARD</t>
  </si>
  <si>
    <t>DOCTCCLOG</t>
  </si>
  <si>
    <t>DOCTRCLOG</t>
  </si>
  <si>
    <t>DOCHARDCOPYPRINT</t>
  </si>
  <si>
    <t>DOCEXPIRED</t>
  </si>
  <si>
    <t>DOCTRAINING</t>
  </si>
  <si>
    <t>DOCCONSULTANTCERTS</t>
  </si>
  <si>
    <t>DOCIPMPLANCERTS</t>
  </si>
  <si>
    <t>STDLEXAN</t>
  </si>
  <si>
    <t>STDUSEDITEMS</t>
  </si>
  <si>
    <t>STDSURFACESSURFACES</t>
  </si>
  <si>
    <t>STDSOILEDWARES</t>
  </si>
  <si>
    <t>STDDRINKDISPENSERS</t>
  </si>
  <si>
    <t>PROVPALLETHEIGHT</t>
  </si>
  <si>
    <t>PROVCLEANINGSTD</t>
  </si>
  <si>
    <t>PROVWOODPALLET</t>
  </si>
  <si>
    <t>PROVWOODISMPSTAMP</t>
  </si>
  <si>
    <t>PROVWOODALCOHOL</t>
  </si>
  <si>
    <t>PROVPALLETCOMPLIANCE</t>
  </si>
  <si>
    <t>PROVDECEVIDENCE</t>
  </si>
  <si>
    <t>PROVDECCONTAINERS</t>
  </si>
  <si>
    <t>PROVDECREPORTING</t>
  </si>
  <si>
    <t>PROVDECINSPECTIONS</t>
  </si>
  <si>
    <t>PROVDECDEPTINSPECTIONS</t>
  </si>
  <si>
    <t>PROVEXCLDOORS</t>
  </si>
  <si>
    <t>PROVEXCSCDOORS</t>
  </si>
  <si>
    <t>PROVEXCLAIRCURTAINS</t>
  </si>
  <si>
    <t>RECCLEANDECKS</t>
  </si>
  <si>
    <t>RECCLEANBULKHEADS</t>
  </si>
  <si>
    <t>RECCLEANDECKHEADS</t>
  </si>
  <si>
    <t>RECCLEANSORTTABLE</t>
  </si>
  <si>
    <t>RECINCINCOVERED</t>
  </si>
  <si>
    <t>RECINCINCLEAN</t>
  </si>
  <si>
    <t>RECGLASSCOVERED</t>
  </si>
  <si>
    <t>RECGLASSCLEAN</t>
  </si>
  <si>
    <t>RECCOMPCOVERED</t>
  </si>
  <si>
    <t>RECCOMPCLEAN</t>
  </si>
  <si>
    <t>RECWASTECLEAN</t>
  </si>
  <si>
    <t>RECWASTELIDDED</t>
  </si>
  <si>
    <t>RECWASTEGLASS</t>
  </si>
  <si>
    <t>RECWASTECOVERED</t>
  </si>
  <si>
    <t>RECWASTEEMPTIED</t>
  </si>
  <si>
    <t>RECWASTEOVERFLOW</t>
  </si>
  <si>
    <t>RECEXCLDOORS</t>
  </si>
  <si>
    <t>RECEXCLUSTANDSTRIP</t>
  </si>
  <si>
    <t>RECEXCLCURTAINS</t>
  </si>
  <si>
    <t>RECPLUMBDRAINS</t>
  </si>
  <si>
    <t>RECPLUMBSTANDWATER</t>
  </si>
  <si>
    <t>RECPLUMBSTANDWATERLEAK</t>
  </si>
  <si>
    <t>RECPLUMBMAINTENANCE</t>
  </si>
  <si>
    <t>BUNKER01</t>
  </si>
  <si>
    <t>BUNKER02</t>
  </si>
  <si>
    <t>BUNKER03</t>
  </si>
  <si>
    <t>BUNKER04</t>
  </si>
  <si>
    <t>BUNKER05</t>
  </si>
  <si>
    <t>BUNKER06</t>
  </si>
  <si>
    <t>BUNKER07</t>
  </si>
  <si>
    <t>BUNKER08</t>
  </si>
  <si>
    <t>BUNKER09</t>
  </si>
  <si>
    <t>BUNKER10</t>
  </si>
  <si>
    <t>BUNKER11</t>
  </si>
  <si>
    <t>BUNKER12</t>
  </si>
  <si>
    <t>BUNKER13</t>
  </si>
  <si>
    <t>IGNORE_Departments</t>
  </si>
  <si>
    <t>IGNORE_Criteria</t>
  </si>
  <si>
    <t>IGNORE_Text_Icons</t>
  </si>
  <si>
    <t>IGNORE_Ordinal</t>
  </si>
  <si>
    <t>IGNORE_Block_Ref</t>
  </si>
  <si>
    <t>IGNORE_Title</t>
  </si>
  <si>
    <t>IGNORE_Heading</t>
  </si>
  <si>
    <t>IGNORE_Category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</si>
</sst>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name val="Aptos Narrow"/>
      <family val="2"/>
      <scheme val="minor"/>
    </font>
    <font>
      <b/>
      <sz val="10"/>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4">
    <border>
      <left/>
      <right/>
      <top/>
      <bottom/>
      <diagonal/>
    </border>
    <border>
      <left style="thin">
        <color indexed="64"/>
      </left>
      <right style="thin">
        <color theme="4"/>
      </right>
      <top style="thin">
        <color indexed="64"/>
      </top>
      <bottom style="thin">
        <color indexed="64"/>
      </bottom>
      <diagonal/>
    </border>
    <border>
      <left style="thin">
        <color theme="4"/>
      </left>
      <right style="thin">
        <color theme="4"/>
      </right>
      <top style="thin">
        <color indexed="64"/>
      </top>
      <bottom style="thin">
        <color indexed="64"/>
      </bottom>
      <diagonal/>
    </border>
    <border>
      <left style="thin">
        <color theme="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top" wrapText="1"/>
    </xf>
    <xf numFmtId="0" fontId="1" fillId="0" borderId="0" xfId="0" applyFont="1" applyAlignment="1">
      <alignment horizontal="left" vertical="top" wrapText="1"/>
    </xf>
    <xf numFmtId="0" fontId="0" fillId="0" borderId="0" xfId="0" applyAlignment="1">
      <alignment horizontal="left" wrapText="1"/>
    </xf>
    <xf numFmtId="0" fontId="0" fillId="3" borderId="0" xfId="0" applyFill="1" applyAlignment="1">
      <alignment horizontal="left" vertical="top" wrapText="1"/>
    </xf>
    <xf numFmtId="0" fontId="0" fillId="3" borderId="0" xfId="0" applyFill="1" applyAlignment="1">
      <alignment vertical="top" wrapText="1"/>
    </xf>
    <xf numFmtId="0" fontId="3" fillId="2" borderId="0" xfId="0" applyFont="1" applyFill="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wrapText="1"/>
    </xf>
    <xf numFmtId="0" fontId="1" fillId="0" borderId="0" xfId="0" applyFont="1"/>
    <xf numFmtId="0" fontId="3" fillId="0" borderId="0" xfId="0" applyFont="1" applyAlignment="1">
      <alignment horizontal="center" vertical="center" wrapText="1"/>
    </xf>
    <xf numFmtId="0" fontId="0" fillId="0" borderId="0" xfId="0" applyAlignment="1">
      <alignment horizontal="center" vertical="center" wrapText="1"/>
    </xf>
    <xf numFmtId="0" fontId="3" fillId="2" borderId="0" xfId="0" applyFont="1" applyFill="1" applyAlignment="1">
      <alignment horizontal="center" vertical="top" wrapText="1"/>
    </xf>
    <xf numFmtId="0" fontId="1" fillId="2" borderId="0" xfId="0" applyFont="1" applyFill="1" applyAlignment="1">
      <alignment horizontal="left" vertical="top"/>
    </xf>
    <xf numFmtId="0" fontId="0" fillId="0" borderId="0" xfId="0" applyAlignment="1">
      <alignment vertical="center"/>
    </xf>
    <xf numFmtId="0" fontId="0" fillId="0" borderId="0" xfId="0" applyAlignment="1">
      <alignment horizontal="center" vertical="center"/>
    </xf>
    <xf numFmtId="0" fontId="3" fillId="0" borderId="1" xfId="0" applyFont="1"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horizontal="center" vertical="top" wrapText="1"/>
    </xf>
    <xf numFmtId="0" fontId="3" fillId="0" borderId="3" xfId="0" applyFont="1" applyBorder="1" applyAlignment="1">
      <alignment horizontal="left" vertical="top" wrapText="1"/>
    </xf>
  </cellXfs>
  <cellStyles count="1">
    <cellStyle name="Normal" xfId="0" builtinId="0"/>
  </cellStyles>
  <dxfs count="17">
    <dxf>
      <font>
        <b/>
        <i val="0"/>
        <color theme="0"/>
      </font>
      <fill>
        <patternFill>
          <bgColor rgb="FFFF0000"/>
        </patternFill>
      </fill>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alignment horizontal="left" vertical="top" textRotation="0" wrapText="1" indent="0" justifyLastLine="0" shrinkToFit="0" readingOrder="0"/>
    </dxf>
    <dxf>
      <alignment horizontal="center" vertical="center" textRotation="0" wrapText="1" indent="0" justifyLastLine="0" shrinkToFit="0" readingOrder="0"/>
    </dxf>
    <dxf>
      <font>
        <b val="0"/>
      </font>
      <alignment horizontal="left" vertical="top" textRotation="0" wrapText="1" indent="0" justifyLastLine="0" shrinkToFit="0" readingOrder="0"/>
    </dxf>
    <dxf>
      <font>
        <b/>
      </font>
      <alignment horizontal="left" vertical="top" textRotation="0" wrapText="1" indent="0" justifyLastLine="0" shrinkToFit="0" readingOrder="0"/>
    </dxf>
    <dxf>
      <alignment horizontal="left"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left" vertical="top" textRotation="0" wrapText="1" indent="0" justifyLastLine="0" shrinkToFit="0" readingOrder="0"/>
    </dxf>
    <dxf>
      <font>
        <b/>
        <i val="0"/>
        <strike val="0"/>
        <condense val="0"/>
        <extend val="0"/>
        <outline val="0"/>
        <shadow val="0"/>
        <u val="none"/>
        <vertAlign val="baseline"/>
        <sz val="10"/>
        <color theme="1"/>
        <name val="Aptos Narrow"/>
        <family val="2"/>
        <scheme val="minor"/>
      </font>
      <fill>
        <patternFill patternType="solid">
          <fgColor indexed="64"/>
          <bgColor theme="0" tint="-0.14999847407452621"/>
        </patternFill>
      </fill>
      <alignment horizontal="left" vertical="top" textRotation="0" wrapText="1"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CE1ADB-0622-40C0-B0E4-D55093F9E45A}" name="Table2" displayName="Table2" ref="A1:S360" totalsRowShown="0" headerRowDxfId="16">
  <tableColumns count="19">
    <tableColumn id="1" xr3:uid="{242A2EDE-17DC-4458-9DD5-C4E88309BA79}" name="Short_Code" dataDxfId="15"/>
    <tableColumn id="7" xr3:uid="{E0A37A02-8683-4FCD-8331-95E234E0E352}" name="Departments" dataDxfId="14"/>
    <tableColumn id="18" xr3:uid="{272E36D6-5FCC-4BC3-A333-375C80E9F188}" name="Criteria" dataDxfId="13"/>
    <tableColumn id="16" xr3:uid="{9BEB0CEC-7F10-4590-AC8E-F57DE4F043C5}" name="Text_Icons" dataDxfId="12"/>
    <tableColumn id="17" xr3:uid="{A03100B2-308E-411B-B776-A246EEA31031}" name="Ordinal" dataDxfId="11"/>
    <tableColumn id="19" xr3:uid="{6E0B30DC-C9E9-48E2-8D1C-888D7D5A077F}" name="Block_Ref" dataDxfId="10"/>
    <tableColumn id="2" xr3:uid="{112466D8-2337-431F-8271-18A008422A17}" name="Title" dataDxfId="9"/>
    <tableColumn id="3" xr3:uid="{BB10C69D-83B0-48D5-A2CF-C90E423B54B2}" name="Heading" dataDxfId="8"/>
    <tableColumn id="4" xr3:uid="{3EE67AFB-9615-4E3F-AED8-C6BA9765C6FF}" name="Category" dataDxfId="7"/>
    <tableColumn id="8" xr3:uid="{3CC11997-7F49-466C-895D-7EC22219153A}" name="QTN"/>
    <tableColumn id="9" xr3:uid="{C6C2D0BE-3B0D-4018-AF70-2BD4E7AC3571}" name="Yes"/>
    <tableColumn id="10" xr3:uid="{6F08038F-C8CF-4902-A2A6-621FB866AF5F}" name="NCT"/>
    <tableColumn id="11" xr3:uid="{A4255B7D-7CBC-4AAA-8F42-14B40558793E}" name="No"/>
    <tableColumn id="12" xr3:uid="{3807D60B-CAAF-4D61-8BDA-D04654789FC7}" name="Responsibility" dataDxfId="6"/>
    <tableColumn id="13" xr3:uid="{6EC62605-45E5-402C-8E75-B44D78517B09}" name="Consultant" dataDxfId="5"/>
    <tableColumn id="5" xr3:uid="{3CEFEDA8-BA42-43FE-A0DC-DA8E421E28A7}" name="VSP_Item_No" dataDxfId="4"/>
    <tableColumn id="6" xr3:uid="{F99F64CC-AFC6-45A4-9FF7-76A1B9708157}" name="Point_Loss" dataDxfId="3"/>
    <tableColumn id="14" xr3:uid="{603B4334-9FE6-4797-ACA7-135440BD2162}" name="VSP_Reference" dataDxfId="2"/>
    <tableColumn id="15" xr3:uid="{4F2FFD40-6FD4-4B69-B3D4-1B9A793B1845}" name="VSP_Description"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E646E-5A52-49D2-9C8A-2BEF629BD40A}">
  <sheetPr>
    <tabColor rgb="FFFF0000"/>
  </sheetPr>
  <dimension ref="A1:A4"/>
  <sheetViews>
    <sheetView workbookViewId="0">
      <selection activeCell="A2" sqref="A2:A6"/>
    </sheetView>
  </sheetViews>
  <sheetFormatPr defaultRowHeight="14.25" x14ac:dyDescent="0.45"/>
  <cols>
    <col min="1" max="1" width="12.9296875" customWidth="1"/>
  </cols>
  <sheetData>
    <row r="1" spans="1:1" x14ac:dyDescent="0.45">
      <c r="A1" s="13" t="s">
        <v>1585</v>
      </c>
    </row>
    <row r="2" spans="1:1" x14ac:dyDescent="0.45">
      <c r="A2" t="s">
        <v>1582</v>
      </c>
    </row>
    <row r="3" spans="1:1" x14ac:dyDescent="0.45">
      <c r="A3" t="s">
        <v>1584</v>
      </c>
    </row>
    <row r="4" spans="1:1" x14ac:dyDescent="0.45">
      <c r="A4" t="s">
        <v>1548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FA1D2-3E23-4F5D-B55D-45E87D5CBB6E}">
  <sheetPr>
    <tabColor theme="9" tint="-0.499984740745262"/>
  </sheetPr>
  <dimension ref="A1:S360"/>
  <sheetViews>
    <sheetView tabSelected="1" zoomScale="103" zoomScaleNormal="103" workbookViewId="0">
      <pane ySplit="1" topLeftCell="A2" activePane="bottomLeft" state="frozen"/>
      <selection pane="bottomLeft" activeCell="C11" sqref="C11"/>
    </sheetView>
  </sheetViews>
  <sheetFormatPr defaultColWidth="10.796875" defaultRowHeight="15.4" customHeight="1" x14ac:dyDescent="0.45"/>
  <cols>
    <col min="1" max="1" width="25.1328125" style="2" customWidth="1"/>
    <col min="2" max="2" width="18.53125" style="2" customWidth="1"/>
    <col min="3" max="3" width="10.73046875" style="5" customWidth="1"/>
    <col min="4" max="4" width="9.86328125" style="2" customWidth="1"/>
    <col min="5" max="6" width="15.86328125" style="2" customWidth="1"/>
    <col min="7" max="7" width="24.46484375" style="2" customWidth="1"/>
    <col min="8" max="8" width="14.19921875" style="2" customWidth="1"/>
    <col min="9" max="9" width="25.3984375" style="2" customWidth="1"/>
    <col min="10" max="10" width="39.265625" style="2" customWidth="1"/>
    <col min="11" max="11" width="5.46484375" style="2" customWidth="1"/>
    <col min="12" max="12" width="45.6640625" style="2" customWidth="1"/>
    <col min="13" max="13" width="5.33203125" style="2" customWidth="1"/>
    <col min="14" max="14" width="28.6640625" style="2" customWidth="1"/>
    <col min="15" max="15" width="23.59765625" customWidth="1"/>
    <col min="16" max="16" width="8.86328125" style="2" customWidth="1"/>
    <col min="17" max="17" width="5.1328125" style="3" customWidth="1"/>
    <col min="18" max="18" width="14.6640625" style="3" customWidth="1"/>
    <col min="19" max="19" width="23.9296875" style="2" customWidth="1"/>
    <col min="20" max="16384" width="10.796875" style="3"/>
  </cols>
  <sheetData>
    <row r="1" spans="1:19" s="17" customFormat="1" ht="15.4" customHeight="1" x14ac:dyDescent="0.45">
      <c r="A1" s="9" t="s">
        <v>1587</v>
      </c>
      <c r="B1" s="9" t="s">
        <v>1509</v>
      </c>
      <c r="C1" s="9" t="s">
        <v>1584</v>
      </c>
      <c r="D1" s="9" t="s">
        <v>1528</v>
      </c>
      <c r="E1" s="16" t="s">
        <v>1529</v>
      </c>
      <c r="F1" s="9" t="s">
        <v>1551</v>
      </c>
      <c r="G1" s="9" t="s">
        <v>3</v>
      </c>
      <c r="H1" s="9" t="s">
        <v>6</v>
      </c>
      <c r="I1" s="9" t="s">
        <v>4</v>
      </c>
      <c r="J1" s="9" t="s">
        <v>950</v>
      </c>
      <c r="K1" s="9" t="s">
        <v>9</v>
      </c>
      <c r="L1" s="9" t="s">
        <v>951</v>
      </c>
      <c r="M1" s="9" t="s">
        <v>11</v>
      </c>
      <c r="N1" s="9" t="s">
        <v>1</v>
      </c>
      <c r="O1" s="9" t="s">
        <v>2</v>
      </c>
      <c r="P1" s="9" t="s">
        <v>904</v>
      </c>
      <c r="Q1" s="9" t="s">
        <v>0</v>
      </c>
      <c r="R1" s="9" t="s">
        <v>905</v>
      </c>
      <c r="S1" s="9" t="s">
        <v>134</v>
      </c>
    </row>
    <row r="2" spans="1:19" s="1" customFormat="1" ht="15.4" customHeight="1" x14ac:dyDescent="0.45">
      <c r="A2" s="2" t="s">
        <v>1588</v>
      </c>
      <c r="B2" s="10"/>
      <c r="C2" s="10" t="s">
        <v>1582</v>
      </c>
      <c r="D2" s="12"/>
      <c r="E2" s="14"/>
      <c r="F2" s="10"/>
      <c r="G2" s="5" t="s">
        <v>1583</v>
      </c>
      <c r="H2" s="2"/>
      <c r="I2" s="2"/>
      <c r="J2" s="10"/>
      <c r="K2" s="10"/>
      <c r="L2" s="10"/>
      <c r="M2" s="10"/>
      <c r="N2" s="2"/>
      <c r="O2" s="2"/>
      <c r="P2" s="10"/>
      <c r="Q2" s="11"/>
      <c r="R2" s="11"/>
      <c r="S2" s="10"/>
    </row>
    <row r="3" spans="1:19" s="1" customFormat="1" ht="15.4" customHeight="1" x14ac:dyDescent="0.45">
      <c r="A3" s="2" t="s">
        <v>1552</v>
      </c>
      <c r="B3" s="2"/>
      <c r="C3" s="10" t="s">
        <v>1548</v>
      </c>
      <c r="D3" s="2"/>
      <c r="E3" s="15"/>
      <c r="F3" s="2"/>
      <c r="G3" s="2"/>
      <c r="H3" s="2"/>
      <c r="I3" s="2"/>
      <c r="J3" t="s">
        <v>1553</v>
      </c>
      <c r="K3" s="10"/>
      <c r="L3" s="10"/>
      <c r="M3" s="10"/>
      <c r="N3" s="2"/>
      <c r="O3" s="2"/>
      <c r="P3" s="10"/>
      <c r="Q3" s="11"/>
      <c r="R3" s="11"/>
      <c r="S3" s="10"/>
    </row>
    <row r="4" spans="1:19" s="1" customFormat="1" ht="15.4" customHeight="1" x14ac:dyDescent="0.45">
      <c r="A4" s="2" t="s">
        <v>1550</v>
      </c>
      <c r="B4" s="2"/>
      <c r="C4" s="10" t="s">
        <v>1548</v>
      </c>
      <c r="D4" s="2"/>
      <c r="E4" s="15"/>
      <c r="F4" s="2"/>
      <c r="G4" s="2"/>
      <c r="H4" s="2"/>
      <c r="I4" s="2"/>
      <c r="J4" t="s">
        <v>1549</v>
      </c>
      <c r="K4" s="10"/>
      <c r="L4" s="10"/>
      <c r="M4" s="10"/>
      <c r="N4" s="2"/>
      <c r="O4" s="2"/>
      <c r="P4" s="10"/>
      <c r="Q4" s="11"/>
      <c r="R4" s="11"/>
      <c r="S4" s="10"/>
    </row>
    <row r="5" spans="1:19" s="1" customFormat="1" ht="15.4" customHeight="1" x14ac:dyDescent="0.45">
      <c r="A5" s="2" t="s">
        <v>1565</v>
      </c>
      <c r="B5" s="2"/>
      <c r="C5" s="10" t="s">
        <v>1548</v>
      </c>
      <c r="D5" s="2"/>
      <c r="E5" s="15"/>
      <c r="F5" s="2"/>
      <c r="G5" s="5" t="s">
        <v>1566</v>
      </c>
      <c r="H5" s="2"/>
      <c r="I5" s="2"/>
      <c r="J5" t="s">
        <v>1586</v>
      </c>
      <c r="K5" s="10"/>
      <c r="L5" s="10"/>
      <c r="M5" s="10"/>
      <c r="N5" s="2"/>
      <c r="O5" s="2"/>
      <c r="P5" s="10"/>
      <c r="Q5" s="11"/>
      <c r="R5" s="11"/>
      <c r="S5" s="10"/>
    </row>
    <row r="6" spans="1:19" s="1" customFormat="1" ht="15.4" customHeight="1" x14ac:dyDescent="0.45">
      <c r="A6" s="2" t="s">
        <v>1589</v>
      </c>
      <c r="B6" s="2"/>
      <c r="C6" s="10" t="s">
        <v>1548</v>
      </c>
      <c r="D6" s="2"/>
      <c r="E6" s="15"/>
      <c r="F6" s="2"/>
      <c r="G6" s="5" t="s">
        <v>26</v>
      </c>
      <c r="H6" s="2"/>
      <c r="I6" s="2"/>
      <c r="J6"/>
      <c r="K6" s="10"/>
      <c r="L6" s="10"/>
      <c r="M6" s="10"/>
      <c r="N6" s="2"/>
      <c r="O6" s="2"/>
      <c r="P6" s="10"/>
      <c r="Q6" s="11"/>
      <c r="R6" s="11"/>
      <c r="S6" s="10"/>
    </row>
    <row r="7" spans="1:19" s="1" customFormat="1" ht="15.4" customHeight="1" x14ac:dyDescent="0.45">
      <c r="A7" s="2" t="s">
        <v>1567</v>
      </c>
      <c r="B7" s="2"/>
      <c r="C7" s="10" t="s">
        <v>1548</v>
      </c>
      <c r="D7" s="2"/>
      <c r="E7" s="15"/>
      <c r="F7" s="2"/>
      <c r="G7" s="5" t="s">
        <v>1575</v>
      </c>
      <c r="H7" s="2"/>
      <c r="I7" s="2"/>
      <c r="J7"/>
      <c r="K7" s="10"/>
      <c r="L7" s="10"/>
      <c r="M7" s="10"/>
      <c r="N7" s="2"/>
      <c r="O7" s="2"/>
      <c r="P7" s="10"/>
      <c r="Q7" s="11"/>
      <c r="R7" s="11"/>
      <c r="S7" s="10"/>
    </row>
    <row r="8" spans="1:19" s="1" customFormat="1" ht="15.4" customHeight="1" x14ac:dyDescent="0.45">
      <c r="A8" s="2" t="s">
        <v>1568</v>
      </c>
      <c r="B8" s="2"/>
      <c r="C8" s="10" t="s">
        <v>1548</v>
      </c>
      <c r="D8" s="2"/>
      <c r="E8" s="15"/>
      <c r="F8" s="2"/>
      <c r="G8" s="5" t="s">
        <v>1576</v>
      </c>
      <c r="H8" s="2"/>
      <c r="I8" s="2"/>
      <c r="J8"/>
      <c r="K8" s="10"/>
      <c r="L8" s="10"/>
      <c r="M8" s="10"/>
      <c r="N8" s="2"/>
      <c r="O8" s="2"/>
      <c r="P8" s="10"/>
      <c r="Q8" s="11"/>
      <c r="R8" s="11"/>
      <c r="S8" s="10"/>
    </row>
    <row r="9" spans="1:19" s="1" customFormat="1" ht="15.4" customHeight="1" x14ac:dyDescent="0.45">
      <c r="A9" s="2" t="s">
        <v>1569</v>
      </c>
      <c r="B9" s="2"/>
      <c r="C9" s="10" t="s">
        <v>1548</v>
      </c>
      <c r="D9" s="2"/>
      <c r="E9" s="15"/>
      <c r="F9" s="2"/>
      <c r="G9" s="5" t="s">
        <v>1577</v>
      </c>
      <c r="H9" s="2"/>
      <c r="I9" s="2"/>
      <c r="J9"/>
      <c r="K9" s="10"/>
      <c r="L9" s="10"/>
      <c r="M9" s="10"/>
      <c r="N9" s="2"/>
      <c r="O9" s="2"/>
      <c r="P9" s="10"/>
      <c r="Q9" s="11"/>
      <c r="R9" s="11"/>
      <c r="S9" s="10"/>
    </row>
    <row r="10" spans="1:19" s="1" customFormat="1" ht="15.4" customHeight="1" x14ac:dyDescent="0.45">
      <c r="A10" s="2" t="s">
        <v>1570</v>
      </c>
      <c r="B10" s="2"/>
      <c r="C10" s="10" t="s">
        <v>1548</v>
      </c>
      <c r="D10" s="2"/>
      <c r="E10" s="15"/>
      <c r="F10" s="2"/>
      <c r="G10" s="5" t="s">
        <v>1579</v>
      </c>
      <c r="H10" s="2"/>
      <c r="I10" s="2"/>
      <c r="J10"/>
      <c r="K10" s="10"/>
      <c r="L10" s="10"/>
      <c r="M10" s="10"/>
      <c r="N10" s="2"/>
      <c r="O10" s="2"/>
      <c r="P10" s="10"/>
      <c r="Q10" s="11"/>
      <c r="R10" s="11"/>
      <c r="S10" s="10"/>
    </row>
    <row r="11" spans="1:19" s="1" customFormat="1" ht="15.4" customHeight="1" x14ac:dyDescent="0.45">
      <c r="A11" s="2" t="s">
        <v>1571</v>
      </c>
      <c r="B11" s="2"/>
      <c r="C11" s="10" t="s">
        <v>1548</v>
      </c>
      <c r="D11" s="2"/>
      <c r="E11" s="15"/>
      <c r="F11" s="2"/>
      <c r="G11" s="5" t="s">
        <v>1580</v>
      </c>
      <c r="H11" s="2"/>
      <c r="I11" s="2"/>
      <c r="J11"/>
      <c r="K11" s="10"/>
      <c r="L11" s="10"/>
      <c r="M11" s="10"/>
      <c r="N11" s="2"/>
      <c r="O11" s="2"/>
      <c r="P11" s="10"/>
      <c r="Q11" s="11"/>
      <c r="R11" s="11"/>
      <c r="S11" s="10"/>
    </row>
    <row r="12" spans="1:19" s="1" customFormat="1" ht="15.4" customHeight="1" x14ac:dyDescent="0.45">
      <c r="A12" s="2" t="s">
        <v>1572</v>
      </c>
      <c r="B12" s="2"/>
      <c r="C12" s="10" t="s">
        <v>1548</v>
      </c>
      <c r="D12" s="2"/>
      <c r="E12" s="15"/>
      <c r="F12" s="2"/>
      <c r="G12" s="5" t="s">
        <v>1578</v>
      </c>
      <c r="H12" s="2"/>
      <c r="I12" s="2"/>
      <c r="J12"/>
      <c r="K12" s="10"/>
      <c r="L12" s="10"/>
      <c r="M12" s="10"/>
      <c r="N12" s="2"/>
      <c r="O12" s="2"/>
      <c r="P12" s="10"/>
      <c r="Q12" s="11"/>
      <c r="R12" s="11"/>
      <c r="S12" s="10"/>
    </row>
    <row r="13" spans="1:19" s="1" customFormat="1" ht="15.4" customHeight="1" x14ac:dyDescent="0.45">
      <c r="A13" s="2" t="s">
        <v>1573</v>
      </c>
      <c r="B13" s="2"/>
      <c r="C13" s="10" t="s">
        <v>1548</v>
      </c>
      <c r="D13" s="2"/>
      <c r="E13" s="15"/>
      <c r="F13" s="2"/>
      <c r="G13" s="5" t="s">
        <v>1514</v>
      </c>
      <c r="H13" s="2"/>
      <c r="I13" s="2"/>
      <c r="J13"/>
      <c r="K13" s="10"/>
      <c r="L13" s="10"/>
      <c r="M13" s="10"/>
      <c r="N13" s="2"/>
      <c r="O13" s="2"/>
      <c r="P13" s="10"/>
      <c r="Q13" s="11"/>
      <c r="R13" s="11"/>
      <c r="S13" s="10"/>
    </row>
    <row r="14" spans="1:19" s="1" customFormat="1" ht="15.4" customHeight="1" x14ac:dyDescent="0.45">
      <c r="A14" s="2" t="s">
        <v>1574</v>
      </c>
      <c r="B14" s="2"/>
      <c r="C14" s="10" t="s">
        <v>1548</v>
      </c>
      <c r="D14" s="2"/>
      <c r="E14" s="15"/>
      <c r="F14" s="2"/>
      <c r="G14" s="5" t="s">
        <v>1581</v>
      </c>
      <c r="H14" s="2"/>
      <c r="I14" s="2"/>
      <c r="J14"/>
      <c r="K14" s="10"/>
      <c r="L14" s="10"/>
      <c r="M14" s="10"/>
      <c r="N14" s="2"/>
      <c r="O14" s="2"/>
      <c r="P14" s="10"/>
      <c r="Q14" s="11"/>
      <c r="R14" s="11"/>
      <c r="S14" s="10"/>
    </row>
    <row r="15" spans="1:19" s="1" customFormat="1" ht="15.4" customHeight="1" x14ac:dyDescent="0.45">
      <c r="A15" s="2" t="s">
        <v>1540</v>
      </c>
      <c r="B15" s="2" t="s">
        <v>26</v>
      </c>
      <c r="C15" s="10" t="s">
        <v>1584</v>
      </c>
      <c r="D15" s="2"/>
      <c r="E15" s="15">
        <v>1</v>
      </c>
      <c r="F15" s="2"/>
      <c r="G15" s="5" t="s">
        <v>1530</v>
      </c>
      <c r="H15" s="2"/>
      <c r="I15" s="2"/>
      <c r="J15" s="2" t="s">
        <v>1531</v>
      </c>
      <c r="K15" s="10"/>
      <c r="L15" s="10"/>
      <c r="M15" s="10"/>
      <c r="N15" s="2"/>
      <c r="O15" s="2"/>
      <c r="P15" s="10"/>
      <c r="Q15" s="11"/>
      <c r="R15" s="11"/>
      <c r="S15" s="10"/>
    </row>
    <row r="16" spans="1:19" s="1" customFormat="1" ht="15.4" customHeight="1" x14ac:dyDescent="0.45">
      <c r="A16" s="2" t="s">
        <v>1541</v>
      </c>
      <c r="B16" s="2" t="s">
        <v>26</v>
      </c>
      <c r="C16" s="10" t="s">
        <v>1584</v>
      </c>
      <c r="D16" s="2"/>
      <c r="E16" s="15">
        <v>1</v>
      </c>
      <c r="F16" s="2"/>
      <c r="G16" s="5" t="s">
        <v>1530</v>
      </c>
      <c r="H16" s="2"/>
      <c r="I16" s="2"/>
      <c r="J16" s="2" t="s">
        <v>1532</v>
      </c>
      <c r="K16" s="10"/>
      <c r="L16" s="10"/>
      <c r="M16" s="10"/>
      <c r="N16" s="2"/>
      <c r="O16" s="2"/>
      <c r="P16" s="10"/>
      <c r="Q16" s="11"/>
      <c r="R16" s="11"/>
      <c r="S16" s="10"/>
    </row>
    <row r="17" spans="1:19" ht="15.4" customHeight="1" x14ac:dyDescent="0.45">
      <c r="A17" s="2" t="s">
        <v>1590</v>
      </c>
      <c r="B17" s="2" t="s">
        <v>26</v>
      </c>
      <c r="C17" s="10"/>
      <c r="E17" s="15">
        <v>1</v>
      </c>
      <c r="F17" s="2" t="s">
        <v>1554</v>
      </c>
      <c r="G17" s="5" t="s">
        <v>5</v>
      </c>
      <c r="H17" s="2" t="s">
        <v>7</v>
      </c>
      <c r="I17" s="2" t="s">
        <v>8</v>
      </c>
      <c r="J17" s="4" t="s">
        <v>1521</v>
      </c>
      <c r="K17" s="4" t="s">
        <v>9</v>
      </c>
      <c r="L17" s="4" t="s">
        <v>1522</v>
      </c>
      <c r="M17" s="4" t="s">
        <v>11</v>
      </c>
      <c r="N17" s="2" t="s">
        <v>952</v>
      </c>
      <c r="O17" s="2" t="s">
        <v>1204</v>
      </c>
      <c r="P17" s="2">
        <v>40</v>
      </c>
      <c r="Q17" s="3">
        <v>1</v>
      </c>
      <c r="R17" s="3" t="s">
        <v>832</v>
      </c>
      <c r="S17" s="2" t="s">
        <v>833</v>
      </c>
    </row>
    <row r="18" spans="1:19" ht="15.4" customHeight="1" x14ac:dyDescent="0.45">
      <c r="A18" s="2" t="s">
        <v>1591</v>
      </c>
      <c r="B18" s="2" t="s">
        <v>26</v>
      </c>
      <c r="C18" s="10"/>
      <c r="E18" s="15">
        <v>2</v>
      </c>
      <c r="F18" s="2" t="s">
        <v>1554</v>
      </c>
      <c r="G18" s="5" t="s">
        <v>5</v>
      </c>
      <c r="H18" s="2" t="s">
        <v>7</v>
      </c>
      <c r="I18" s="2" t="s">
        <v>10</v>
      </c>
      <c r="J18" s="2" t="s">
        <v>1520</v>
      </c>
      <c r="K18" s="2" t="s">
        <v>9</v>
      </c>
      <c r="L18" s="4" t="s">
        <v>953</v>
      </c>
      <c r="M18" s="4" t="s">
        <v>11</v>
      </c>
      <c r="N18" s="2" t="s">
        <v>954</v>
      </c>
      <c r="O18" s="2" t="s">
        <v>1204</v>
      </c>
      <c r="P18" s="2">
        <v>40</v>
      </c>
      <c r="Q18" s="3">
        <v>1</v>
      </c>
      <c r="R18" s="3" t="s">
        <v>832</v>
      </c>
      <c r="S18" s="2" t="s">
        <v>833</v>
      </c>
    </row>
    <row r="19" spans="1:19" ht="15.4" customHeight="1" x14ac:dyDescent="0.45">
      <c r="A19" s="2" t="s">
        <v>1592</v>
      </c>
      <c r="B19" s="2" t="s">
        <v>26</v>
      </c>
      <c r="C19" s="10"/>
      <c r="E19" s="15">
        <v>3</v>
      </c>
      <c r="F19" s="2" t="s">
        <v>1554</v>
      </c>
      <c r="G19" s="5" t="s">
        <v>5</v>
      </c>
      <c r="H19" s="4" t="s">
        <v>12</v>
      </c>
      <c r="I19" s="4" t="s">
        <v>13</v>
      </c>
      <c r="J19" s="4" t="s">
        <v>14</v>
      </c>
      <c r="K19" s="4" t="s">
        <v>9</v>
      </c>
      <c r="L19" s="4" t="s">
        <v>1523</v>
      </c>
      <c r="M19" s="4" t="s">
        <v>11</v>
      </c>
      <c r="N19" s="2" t="s">
        <v>954</v>
      </c>
      <c r="O19" s="2" t="s">
        <v>1204</v>
      </c>
      <c r="P19" s="2">
        <v>40</v>
      </c>
      <c r="Q19" s="3">
        <v>1</v>
      </c>
      <c r="R19" s="3" t="s">
        <v>832</v>
      </c>
      <c r="S19" s="2" t="s">
        <v>833</v>
      </c>
    </row>
    <row r="20" spans="1:19" ht="15.4" customHeight="1" x14ac:dyDescent="0.45">
      <c r="A20" s="2" t="s">
        <v>1593</v>
      </c>
      <c r="B20" s="2" t="s">
        <v>26</v>
      </c>
      <c r="C20" s="10"/>
      <c r="E20" s="15">
        <v>4</v>
      </c>
      <c r="F20" s="2" t="s">
        <v>1554</v>
      </c>
      <c r="G20" s="5" t="s">
        <v>5</v>
      </c>
      <c r="H20" s="4" t="s">
        <v>12</v>
      </c>
      <c r="I20" s="4" t="s">
        <v>15</v>
      </c>
      <c r="J20" s="4" t="s">
        <v>16</v>
      </c>
      <c r="K20" s="4" t="s">
        <v>9</v>
      </c>
      <c r="L20" s="4" t="s">
        <v>135</v>
      </c>
      <c r="M20" s="4" t="s">
        <v>11</v>
      </c>
      <c r="N20" s="2" t="s">
        <v>954</v>
      </c>
      <c r="O20" s="2" t="s">
        <v>1204</v>
      </c>
      <c r="P20" s="2">
        <v>40</v>
      </c>
      <c r="Q20" s="3">
        <v>1</v>
      </c>
      <c r="R20" s="3" t="s">
        <v>832</v>
      </c>
      <c r="S20" s="2" t="s">
        <v>833</v>
      </c>
    </row>
    <row r="21" spans="1:19" ht="15.4" customHeight="1" x14ac:dyDescent="0.45">
      <c r="A21" s="2" t="s">
        <v>1594</v>
      </c>
      <c r="B21" s="2" t="s">
        <v>26</v>
      </c>
      <c r="C21" s="10"/>
      <c r="E21" s="15">
        <v>5</v>
      </c>
      <c r="F21" s="2" t="s">
        <v>1554</v>
      </c>
      <c r="G21" s="5" t="s">
        <v>5</v>
      </c>
      <c r="H21" s="4" t="s">
        <v>12</v>
      </c>
      <c r="I21" s="2" t="s">
        <v>17</v>
      </c>
      <c r="J21" s="4" t="s">
        <v>18</v>
      </c>
      <c r="K21" s="4" t="s">
        <v>9</v>
      </c>
      <c r="L21" s="4" t="s">
        <v>1524</v>
      </c>
      <c r="M21" s="4" t="s">
        <v>11</v>
      </c>
      <c r="N21" s="2" t="s">
        <v>954</v>
      </c>
      <c r="O21" s="2" t="s">
        <v>1204</v>
      </c>
      <c r="P21" s="2">
        <v>40</v>
      </c>
      <c r="Q21" s="3">
        <v>1</v>
      </c>
      <c r="R21" s="3" t="s">
        <v>832</v>
      </c>
      <c r="S21" s="2" t="s">
        <v>833</v>
      </c>
    </row>
    <row r="22" spans="1:19" ht="15.4" customHeight="1" x14ac:dyDescent="0.45">
      <c r="A22" s="2" t="s">
        <v>1595</v>
      </c>
      <c r="B22" s="2" t="s">
        <v>26</v>
      </c>
      <c r="C22" s="10"/>
      <c r="E22" s="15">
        <v>6</v>
      </c>
      <c r="F22" s="2" t="s">
        <v>1554</v>
      </c>
      <c r="G22" s="5" t="s">
        <v>5</v>
      </c>
      <c r="H22" s="4" t="s">
        <v>12</v>
      </c>
      <c r="I22" s="4" t="s">
        <v>19</v>
      </c>
      <c r="J22" s="4" t="s">
        <v>20</v>
      </c>
      <c r="K22" s="4" t="s">
        <v>9</v>
      </c>
      <c r="L22" s="4" t="s">
        <v>136</v>
      </c>
      <c r="M22" s="4" t="s">
        <v>11</v>
      </c>
      <c r="N22" s="2" t="s">
        <v>954</v>
      </c>
      <c r="O22" s="2" t="s">
        <v>1204</v>
      </c>
      <c r="P22" s="2" t="s">
        <v>1527</v>
      </c>
      <c r="Q22" s="3" t="s">
        <v>827</v>
      </c>
      <c r="R22" s="3" t="s">
        <v>827</v>
      </c>
      <c r="S22" s="2" t="s">
        <v>827</v>
      </c>
    </row>
    <row r="23" spans="1:19" ht="15.4" customHeight="1" x14ac:dyDescent="0.45">
      <c r="A23" s="2" t="s">
        <v>1596</v>
      </c>
      <c r="B23" s="2" t="s">
        <v>26</v>
      </c>
      <c r="C23" s="10"/>
      <c r="E23" s="15">
        <v>7</v>
      </c>
      <c r="F23" s="2" t="s">
        <v>1554</v>
      </c>
      <c r="G23" s="5" t="s">
        <v>5</v>
      </c>
      <c r="H23" s="4" t="s">
        <v>12</v>
      </c>
      <c r="I23" s="2" t="s">
        <v>21</v>
      </c>
      <c r="J23" s="4" t="s">
        <v>22</v>
      </c>
      <c r="K23" s="4" t="s">
        <v>9</v>
      </c>
      <c r="L23" s="4" t="s">
        <v>137</v>
      </c>
      <c r="M23" s="4" t="s">
        <v>11</v>
      </c>
      <c r="N23" s="2" t="s">
        <v>954</v>
      </c>
      <c r="O23" s="2" t="s">
        <v>1204</v>
      </c>
      <c r="P23" s="2" t="s">
        <v>1527</v>
      </c>
      <c r="Q23" s="3" t="s">
        <v>827</v>
      </c>
      <c r="R23" s="3" t="s">
        <v>827</v>
      </c>
      <c r="S23" s="2" t="s">
        <v>827</v>
      </c>
    </row>
    <row r="24" spans="1:19" ht="15.4" customHeight="1" x14ac:dyDescent="0.45">
      <c r="A24" s="2" t="s">
        <v>1597</v>
      </c>
      <c r="B24" s="2" t="s">
        <v>26</v>
      </c>
      <c r="C24" s="10"/>
      <c r="E24" s="15">
        <v>8</v>
      </c>
      <c r="F24" s="2" t="s">
        <v>1554</v>
      </c>
      <c r="G24" s="5" t="s">
        <v>5</v>
      </c>
      <c r="H24" s="4" t="s">
        <v>12</v>
      </c>
      <c r="I24" s="4" t="s">
        <v>23</v>
      </c>
      <c r="J24" s="4" t="s">
        <v>1525</v>
      </c>
      <c r="K24" s="4" t="s">
        <v>9</v>
      </c>
      <c r="L24" s="4" t="s">
        <v>1526</v>
      </c>
      <c r="M24" s="4" t="s">
        <v>11</v>
      </c>
      <c r="N24" s="2" t="s">
        <v>954</v>
      </c>
      <c r="O24" s="2" t="s">
        <v>1204</v>
      </c>
      <c r="P24" s="2">
        <v>40</v>
      </c>
      <c r="Q24" s="3">
        <v>1</v>
      </c>
      <c r="R24" s="3" t="s">
        <v>832</v>
      </c>
      <c r="S24" s="2" t="s">
        <v>833</v>
      </c>
    </row>
    <row r="25" spans="1:19" ht="15.4" customHeight="1" x14ac:dyDescent="0.45">
      <c r="A25" s="2" t="s">
        <v>1598</v>
      </c>
      <c r="B25" s="2" t="s">
        <v>26</v>
      </c>
      <c r="C25" s="10"/>
      <c r="E25" s="15">
        <v>9</v>
      </c>
      <c r="F25" s="2" t="s">
        <v>1554</v>
      </c>
      <c r="G25" s="5" t="s">
        <v>5</v>
      </c>
      <c r="H25" s="4" t="s">
        <v>12</v>
      </c>
      <c r="I25" s="2" t="s">
        <v>24</v>
      </c>
      <c r="J25" s="4" t="s">
        <v>25</v>
      </c>
      <c r="K25" s="4" t="s">
        <v>9</v>
      </c>
      <c r="L25" s="4" t="s">
        <v>138</v>
      </c>
      <c r="M25" s="4" t="s">
        <v>11</v>
      </c>
      <c r="N25" s="2" t="s">
        <v>954</v>
      </c>
      <c r="O25" s="2" t="s">
        <v>1204</v>
      </c>
      <c r="P25" s="2">
        <v>40</v>
      </c>
      <c r="Q25" s="3">
        <v>1</v>
      </c>
      <c r="R25" s="3" t="s">
        <v>832</v>
      </c>
      <c r="S25" s="2" t="s">
        <v>833</v>
      </c>
    </row>
    <row r="26" spans="1:19" ht="15.4" customHeight="1" x14ac:dyDescent="0.45">
      <c r="A26" s="2" t="s">
        <v>1599</v>
      </c>
      <c r="B26" s="2" t="s">
        <v>26</v>
      </c>
      <c r="C26" s="10"/>
      <c r="E26" s="15">
        <v>10</v>
      </c>
      <c r="F26" s="2" t="s">
        <v>1554</v>
      </c>
      <c r="G26" s="5" t="s">
        <v>5</v>
      </c>
      <c r="H26" s="4" t="s">
        <v>12</v>
      </c>
      <c r="I26" s="2" t="s">
        <v>26</v>
      </c>
      <c r="J26" s="4" t="s">
        <v>27</v>
      </c>
      <c r="K26" s="4" t="s">
        <v>9</v>
      </c>
      <c r="L26" s="4" t="s">
        <v>139</v>
      </c>
      <c r="M26" s="4" t="s">
        <v>11</v>
      </c>
      <c r="N26" s="2" t="s">
        <v>1205</v>
      </c>
      <c r="O26" s="2" t="s">
        <v>1204</v>
      </c>
      <c r="P26" s="2">
        <v>40</v>
      </c>
      <c r="Q26" s="3">
        <v>1</v>
      </c>
      <c r="R26" s="3" t="s">
        <v>832</v>
      </c>
      <c r="S26" s="2" t="s">
        <v>833</v>
      </c>
    </row>
    <row r="27" spans="1:19" ht="15.4" customHeight="1" x14ac:dyDescent="0.45">
      <c r="A27" s="2" t="s">
        <v>955</v>
      </c>
      <c r="B27" s="2" t="s">
        <v>26</v>
      </c>
      <c r="C27" s="10"/>
      <c r="E27" s="15">
        <v>11</v>
      </c>
      <c r="F27" s="2" t="s">
        <v>1554</v>
      </c>
      <c r="G27" s="5" t="s">
        <v>5</v>
      </c>
      <c r="H27" s="4" t="s">
        <v>12</v>
      </c>
      <c r="I27" s="2" t="s">
        <v>28</v>
      </c>
      <c r="J27" s="4" t="s">
        <v>29</v>
      </c>
      <c r="K27" s="4" t="s">
        <v>9</v>
      </c>
      <c r="L27" s="4" t="s">
        <v>140</v>
      </c>
      <c r="M27" s="4" t="s">
        <v>11</v>
      </c>
      <c r="N27" s="2" t="s">
        <v>1206</v>
      </c>
      <c r="O27" s="2" t="s">
        <v>1204</v>
      </c>
      <c r="P27" s="2">
        <v>40</v>
      </c>
      <c r="Q27" s="3">
        <v>1</v>
      </c>
      <c r="R27" s="3" t="s">
        <v>832</v>
      </c>
      <c r="S27" s="2" t="s">
        <v>833</v>
      </c>
    </row>
    <row r="28" spans="1:19" ht="15.4" customHeight="1" x14ac:dyDescent="0.45">
      <c r="A28" s="2" t="s">
        <v>956</v>
      </c>
      <c r="B28" s="2" t="s">
        <v>26</v>
      </c>
      <c r="C28" s="10"/>
      <c r="E28" s="15">
        <v>12</v>
      </c>
      <c r="F28" s="2" t="s">
        <v>1554</v>
      </c>
      <c r="G28" s="5" t="s">
        <v>5</v>
      </c>
      <c r="H28" s="4" t="s">
        <v>12</v>
      </c>
      <c r="I28" s="2" t="s">
        <v>30</v>
      </c>
      <c r="J28" s="4" t="s">
        <v>31</v>
      </c>
      <c r="K28" s="4" t="s">
        <v>9</v>
      </c>
      <c r="L28" s="4" t="s">
        <v>141</v>
      </c>
      <c r="M28" s="4" t="s">
        <v>11</v>
      </c>
      <c r="N28" s="2" t="s">
        <v>1207</v>
      </c>
      <c r="O28" s="2" t="s">
        <v>1204</v>
      </c>
      <c r="P28" s="2">
        <v>40</v>
      </c>
      <c r="Q28" s="3">
        <v>1</v>
      </c>
      <c r="R28" s="3" t="s">
        <v>832</v>
      </c>
      <c r="S28" s="2" t="s">
        <v>833</v>
      </c>
    </row>
    <row r="29" spans="1:19" ht="15.4" customHeight="1" x14ac:dyDescent="0.45">
      <c r="A29" s="2" t="s">
        <v>957</v>
      </c>
      <c r="B29" s="2" t="s">
        <v>26</v>
      </c>
      <c r="C29" s="10"/>
      <c r="E29" s="15">
        <v>13</v>
      </c>
      <c r="F29" s="2" t="s">
        <v>1554</v>
      </c>
      <c r="G29" s="5" t="s">
        <v>5</v>
      </c>
      <c r="H29" s="4" t="s">
        <v>12</v>
      </c>
      <c r="I29" s="2" t="s">
        <v>142</v>
      </c>
      <c r="J29" s="4" t="s">
        <v>32</v>
      </c>
      <c r="K29" s="4" t="s">
        <v>9</v>
      </c>
      <c r="L29" s="4" t="s">
        <v>143</v>
      </c>
      <c r="M29" s="4" t="s">
        <v>11</v>
      </c>
      <c r="N29" s="2" t="s">
        <v>1208</v>
      </c>
      <c r="O29" s="2" t="s">
        <v>1204</v>
      </c>
      <c r="P29" s="2">
        <v>40</v>
      </c>
      <c r="Q29" s="3">
        <v>1</v>
      </c>
      <c r="R29" s="3" t="s">
        <v>832</v>
      </c>
      <c r="S29" s="2" t="s">
        <v>833</v>
      </c>
    </row>
    <row r="30" spans="1:19" ht="15.4" customHeight="1" x14ac:dyDescent="0.45">
      <c r="A30" s="2" t="s">
        <v>958</v>
      </c>
      <c r="B30" s="2" t="s">
        <v>26</v>
      </c>
      <c r="C30" s="10"/>
      <c r="E30" s="15">
        <v>14</v>
      </c>
      <c r="F30" s="2" t="s">
        <v>1554</v>
      </c>
      <c r="G30" s="5" t="s">
        <v>5</v>
      </c>
      <c r="H30" s="4" t="s">
        <v>12</v>
      </c>
      <c r="I30" s="2" t="s">
        <v>33</v>
      </c>
      <c r="J30" s="4" t="s">
        <v>34</v>
      </c>
      <c r="K30" s="4" t="s">
        <v>9</v>
      </c>
      <c r="L30" s="4" t="s">
        <v>144</v>
      </c>
      <c r="M30" s="4" t="s">
        <v>11</v>
      </c>
      <c r="N30" s="2" t="s">
        <v>1209</v>
      </c>
      <c r="O30" s="2" t="s">
        <v>1204</v>
      </c>
      <c r="P30" s="2">
        <v>40</v>
      </c>
      <c r="Q30" s="3">
        <v>1</v>
      </c>
      <c r="R30" s="3" t="s">
        <v>832</v>
      </c>
      <c r="S30" s="2" t="s">
        <v>833</v>
      </c>
    </row>
    <row r="31" spans="1:19" ht="15.4" customHeight="1" x14ac:dyDescent="0.45">
      <c r="A31" s="2" t="s">
        <v>959</v>
      </c>
      <c r="B31" s="2" t="s">
        <v>26</v>
      </c>
      <c r="C31" s="10"/>
      <c r="E31" s="15">
        <v>15</v>
      </c>
      <c r="F31" s="2" t="s">
        <v>1554</v>
      </c>
      <c r="G31" s="5" t="s">
        <v>5</v>
      </c>
      <c r="H31" s="4" t="s">
        <v>12</v>
      </c>
      <c r="I31" s="2" t="s">
        <v>35</v>
      </c>
      <c r="J31" s="4" t="s">
        <v>36</v>
      </c>
      <c r="K31" s="4" t="s">
        <v>9</v>
      </c>
      <c r="L31" s="4" t="s">
        <v>145</v>
      </c>
      <c r="M31" s="4" t="s">
        <v>11</v>
      </c>
      <c r="N31" s="2" t="s">
        <v>1210</v>
      </c>
      <c r="O31" s="2" t="s">
        <v>1204</v>
      </c>
      <c r="P31" s="2">
        <v>40</v>
      </c>
      <c r="Q31" s="3">
        <v>1</v>
      </c>
      <c r="R31" s="3" t="s">
        <v>832</v>
      </c>
      <c r="S31" s="2" t="s">
        <v>833</v>
      </c>
    </row>
    <row r="32" spans="1:19" ht="15.4" customHeight="1" x14ac:dyDescent="0.45">
      <c r="A32" s="2" t="s">
        <v>960</v>
      </c>
      <c r="B32" s="2" t="s">
        <v>26</v>
      </c>
      <c r="C32" s="10"/>
      <c r="E32" s="15">
        <v>16</v>
      </c>
      <c r="F32" s="2" t="s">
        <v>1554</v>
      </c>
      <c r="G32" s="5" t="s">
        <v>5</v>
      </c>
      <c r="H32" s="4" t="s">
        <v>12</v>
      </c>
      <c r="I32" s="2" t="s">
        <v>37</v>
      </c>
      <c r="J32" s="4" t="s">
        <v>38</v>
      </c>
      <c r="K32" s="4" t="s">
        <v>9</v>
      </c>
      <c r="L32" s="4" t="s">
        <v>146</v>
      </c>
      <c r="M32" s="4" t="s">
        <v>11</v>
      </c>
      <c r="N32" s="2" t="s">
        <v>1211</v>
      </c>
      <c r="O32" s="2" t="s">
        <v>1204</v>
      </c>
      <c r="P32" s="2">
        <v>40</v>
      </c>
      <c r="Q32" s="3">
        <v>1</v>
      </c>
      <c r="R32" s="3" t="s">
        <v>832</v>
      </c>
      <c r="S32" s="2" t="s">
        <v>833</v>
      </c>
    </row>
    <row r="33" spans="1:19" ht="15.4" customHeight="1" x14ac:dyDescent="0.45">
      <c r="A33" s="2" t="s">
        <v>961</v>
      </c>
      <c r="B33" s="2" t="s">
        <v>26</v>
      </c>
      <c r="C33" s="10"/>
      <c r="E33" s="15">
        <v>17</v>
      </c>
      <c r="F33" s="2" t="s">
        <v>1554</v>
      </c>
      <c r="G33" s="5" t="s">
        <v>5</v>
      </c>
      <c r="H33" s="4" t="s">
        <v>12</v>
      </c>
      <c r="I33" s="2" t="s">
        <v>39</v>
      </c>
      <c r="J33" s="4" t="s">
        <v>40</v>
      </c>
      <c r="K33" s="4" t="s">
        <v>9</v>
      </c>
      <c r="L33" s="4" t="s">
        <v>147</v>
      </c>
      <c r="M33" s="4" t="s">
        <v>11</v>
      </c>
      <c r="N33" s="2" t="s">
        <v>1212</v>
      </c>
      <c r="O33" s="2" t="s">
        <v>1204</v>
      </c>
      <c r="P33" s="2">
        <v>40</v>
      </c>
      <c r="Q33" s="3">
        <v>1</v>
      </c>
      <c r="R33" s="3" t="s">
        <v>832</v>
      </c>
      <c r="S33" s="2" t="s">
        <v>833</v>
      </c>
    </row>
    <row r="34" spans="1:19" ht="15.4" customHeight="1" x14ac:dyDescent="0.45">
      <c r="A34" s="2" t="s">
        <v>962</v>
      </c>
      <c r="B34" s="2" t="s">
        <v>26</v>
      </c>
      <c r="C34" s="10"/>
      <c r="E34" s="15">
        <v>18</v>
      </c>
      <c r="F34" s="2" t="s">
        <v>1554</v>
      </c>
      <c r="G34" s="5" t="s">
        <v>5</v>
      </c>
      <c r="H34" s="4" t="s">
        <v>12</v>
      </c>
      <c r="I34" s="2" t="s">
        <v>41</v>
      </c>
      <c r="J34" s="4" t="s">
        <v>42</v>
      </c>
      <c r="K34" s="4" t="s">
        <v>9</v>
      </c>
      <c r="L34" s="4" t="s">
        <v>148</v>
      </c>
      <c r="M34" s="4" t="s">
        <v>11</v>
      </c>
      <c r="N34" s="2" t="s">
        <v>1213</v>
      </c>
      <c r="O34" s="2" t="s">
        <v>1204</v>
      </c>
      <c r="P34" s="2" t="s">
        <v>1527</v>
      </c>
      <c r="Q34" s="3" t="s">
        <v>827</v>
      </c>
      <c r="R34" s="3" t="s">
        <v>827</v>
      </c>
      <c r="S34" s="3" t="s">
        <v>827</v>
      </c>
    </row>
    <row r="35" spans="1:19" ht="15.4" customHeight="1" x14ac:dyDescent="0.45">
      <c r="A35" s="2" t="s">
        <v>963</v>
      </c>
      <c r="B35" s="2" t="s">
        <v>26</v>
      </c>
      <c r="C35" s="10"/>
      <c r="E35" s="15">
        <v>19</v>
      </c>
      <c r="F35" s="2" t="s">
        <v>1554</v>
      </c>
      <c r="G35" s="5" t="s">
        <v>5</v>
      </c>
      <c r="H35" s="4" t="s">
        <v>12</v>
      </c>
      <c r="I35" s="4" t="s">
        <v>43</v>
      </c>
      <c r="J35" s="4" t="s">
        <v>44</v>
      </c>
      <c r="K35" s="4" t="s">
        <v>9</v>
      </c>
      <c r="L35" s="4" t="s">
        <v>149</v>
      </c>
      <c r="M35" s="4" t="s">
        <v>11</v>
      </c>
      <c r="N35" s="2" t="s">
        <v>1214</v>
      </c>
      <c r="O35" s="2" t="s">
        <v>1204</v>
      </c>
      <c r="P35" s="2">
        <v>40</v>
      </c>
      <c r="Q35" s="3">
        <v>1</v>
      </c>
      <c r="R35" s="3" t="s">
        <v>832</v>
      </c>
      <c r="S35" s="2" t="s">
        <v>833</v>
      </c>
    </row>
    <row r="36" spans="1:19" ht="15.4" customHeight="1" x14ac:dyDescent="0.45">
      <c r="A36" s="2" t="s">
        <v>964</v>
      </c>
      <c r="B36" s="2" t="s">
        <v>26</v>
      </c>
      <c r="C36" s="10"/>
      <c r="E36" s="15">
        <v>20</v>
      </c>
      <c r="F36" s="2" t="s">
        <v>1554</v>
      </c>
      <c r="G36" s="5" t="s">
        <v>5</v>
      </c>
      <c r="H36" s="4" t="s">
        <v>12</v>
      </c>
      <c r="I36" s="2" t="s">
        <v>45</v>
      </c>
      <c r="J36" s="4" t="s">
        <v>150</v>
      </c>
      <c r="K36" s="4" t="s">
        <v>9</v>
      </c>
      <c r="L36" s="4" t="s">
        <v>151</v>
      </c>
      <c r="M36" s="4" t="s">
        <v>11</v>
      </c>
      <c r="N36" s="2" t="s">
        <v>1215</v>
      </c>
      <c r="O36" s="2" t="s">
        <v>1204</v>
      </c>
      <c r="P36" s="2" t="s">
        <v>1527</v>
      </c>
      <c r="Q36" s="3" t="s">
        <v>827</v>
      </c>
      <c r="R36" s="3" t="s">
        <v>827</v>
      </c>
      <c r="S36" s="3" t="s">
        <v>827</v>
      </c>
    </row>
    <row r="37" spans="1:19" ht="15.4" customHeight="1" x14ac:dyDescent="0.45">
      <c r="A37" s="2" t="s">
        <v>965</v>
      </c>
      <c r="B37" s="2" t="s">
        <v>26</v>
      </c>
      <c r="C37" s="10"/>
      <c r="E37" s="15">
        <v>21</v>
      </c>
      <c r="F37" s="2" t="s">
        <v>1554</v>
      </c>
      <c r="G37" s="5" t="s">
        <v>5</v>
      </c>
      <c r="H37" s="4" t="s">
        <v>12</v>
      </c>
      <c r="I37" s="2" t="s">
        <v>46</v>
      </c>
      <c r="J37" s="4" t="s">
        <v>47</v>
      </c>
      <c r="K37" s="4" t="s">
        <v>9</v>
      </c>
      <c r="L37" s="4" t="s">
        <v>152</v>
      </c>
      <c r="M37" s="4" t="s">
        <v>11</v>
      </c>
      <c r="N37" s="2" t="s">
        <v>1216</v>
      </c>
      <c r="O37" s="2" t="s">
        <v>1204</v>
      </c>
      <c r="P37" s="2">
        <v>40</v>
      </c>
      <c r="Q37" s="3">
        <v>1</v>
      </c>
      <c r="R37" s="3" t="s">
        <v>832</v>
      </c>
      <c r="S37" s="2" t="s">
        <v>833</v>
      </c>
    </row>
    <row r="38" spans="1:19" ht="15.4" customHeight="1" x14ac:dyDescent="0.45">
      <c r="A38" s="2" t="s">
        <v>966</v>
      </c>
      <c r="B38" s="2" t="s">
        <v>26</v>
      </c>
      <c r="C38" s="10"/>
      <c r="E38" s="15">
        <v>22</v>
      </c>
      <c r="F38" s="2" t="s">
        <v>1554</v>
      </c>
      <c r="G38" s="5" t="s">
        <v>5</v>
      </c>
      <c r="H38" s="4" t="s">
        <v>12</v>
      </c>
      <c r="I38" s="2" t="s">
        <v>48</v>
      </c>
      <c r="J38" s="4" t="s">
        <v>49</v>
      </c>
      <c r="K38" s="4" t="s">
        <v>9</v>
      </c>
      <c r="L38" s="4" t="s">
        <v>153</v>
      </c>
      <c r="M38" s="4" t="s">
        <v>11</v>
      </c>
      <c r="N38" s="2" t="s">
        <v>1217</v>
      </c>
      <c r="O38" s="2" t="s">
        <v>1204</v>
      </c>
      <c r="P38" s="2">
        <v>40</v>
      </c>
      <c r="Q38" s="3">
        <v>1</v>
      </c>
      <c r="R38" s="3" t="s">
        <v>832</v>
      </c>
      <c r="S38" s="2" t="s">
        <v>833</v>
      </c>
    </row>
    <row r="39" spans="1:19" ht="15.4" customHeight="1" x14ac:dyDescent="0.45">
      <c r="A39" s="2" t="s">
        <v>967</v>
      </c>
      <c r="B39" s="2" t="s">
        <v>26</v>
      </c>
      <c r="C39" s="10"/>
      <c r="E39" s="15">
        <v>23</v>
      </c>
      <c r="F39" s="2" t="s">
        <v>1554</v>
      </c>
      <c r="G39" s="5" t="s">
        <v>5</v>
      </c>
      <c r="H39" s="4" t="s">
        <v>12</v>
      </c>
      <c r="I39" s="2" t="s">
        <v>50</v>
      </c>
      <c r="J39" s="4" t="s">
        <v>51</v>
      </c>
      <c r="K39" s="4" t="s">
        <v>9</v>
      </c>
      <c r="L39" s="4" t="s">
        <v>154</v>
      </c>
      <c r="M39" s="4" t="s">
        <v>11</v>
      </c>
      <c r="N39" s="2" t="s">
        <v>1218</v>
      </c>
      <c r="O39" s="2" t="s">
        <v>1204</v>
      </c>
      <c r="P39" s="2">
        <v>40</v>
      </c>
      <c r="Q39" s="3">
        <v>1</v>
      </c>
      <c r="R39" s="3" t="s">
        <v>832</v>
      </c>
      <c r="S39" s="2" t="s">
        <v>833</v>
      </c>
    </row>
    <row r="40" spans="1:19" ht="15.4" customHeight="1" x14ac:dyDescent="0.45">
      <c r="A40" s="2" t="s">
        <v>968</v>
      </c>
      <c r="B40" s="2" t="s">
        <v>26</v>
      </c>
      <c r="C40" s="10"/>
      <c r="E40" s="15">
        <v>24</v>
      </c>
      <c r="F40" s="2" t="s">
        <v>1554</v>
      </c>
      <c r="G40" s="5" t="s">
        <v>5</v>
      </c>
      <c r="H40" s="4" t="s">
        <v>12</v>
      </c>
      <c r="I40" s="4" t="s">
        <v>52</v>
      </c>
      <c r="J40" s="4" t="s">
        <v>53</v>
      </c>
      <c r="K40" s="4" t="s">
        <v>9</v>
      </c>
      <c r="L40" s="4" t="s">
        <v>155</v>
      </c>
      <c r="M40" s="4" t="s">
        <v>11</v>
      </c>
      <c r="N40" s="2" t="s">
        <v>1219</v>
      </c>
      <c r="O40" s="2" t="s">
        <v>1204</v>
      </c>
      <c r="P40" s="2">
        <v>40</v>
      </c>
      <c r="Q40" s="3">
        <v>1</v>
      </c>
      <c r="R40" s="3" t="s">
        <v>832</v>
      </c>
      <c r="S40" s="2" t="s">
        <v>833</v>
      </c>
    </row>
    <row r="41" spans="1:19" ht="15.4" customHeight="1" x14ac:dyDescent="0.45">
      <c r="A41" s="2" t="s">
        <v>969</v>
      </c>
      <c r="B41" s="2" t="s">
        <v>26</v>
      </c>
      <c r="C41" s="10"/>
      <c r="E41" s="15">
        <v>25</v>
      </c>
      <c r="F41" s="2" t="s">
        <v>1554</v>
      </c>
      <c r="G41" s="5" t="s">
        <v>5</v>
      </c>
      <c r="H41" s="4" t="s">
        <v>12</v>
      </c>
      <c r="I41" s="2" t="s">
        <v>54</v>
      </c>
      <c r="J41" s="4" t="s">
        <v>55</v>
      </c>
      <c r="K41" s="4" t="s">
        <v>9</v>
      </c>
      <c r="L41" s="4" t="s">
        <v>156</v>
      </c>
      <c r="M41" s="4" t="s">
        <v>11</v>
      </c>
      <c r="N41" s="2" t="s">
        <v>1220</v>
      </c>
      <c r="O41" s="2" t="s">
        <v>1204</v>
      </c>
      <c r="P41" s="2">
        <v>40</v>
      </c>
      <c r="Q41" s="3">
        <v>1</v>
      </c>
      <c r="R41" s="3" t="s">
        <v>832</v>
      </c>
      <c r="S41" s="2" t="s">
        <v>833</v>
      </c>
    </row>
    <row r="42" spans="1:19" ht="15.4" customHeight="1" x14ac:dyDescent="0.45">
      <c r="A42" s="2" t="s">
        <v>970</v>
      </c>
      <c r="B42" s="2" t="s">
        <v>26</v>
      </c>
      <c r="C42" s="10"/>
      <c r="E42" s="15">
        <v>26</v>
      </c>
      <c r="F42" s="2" t="s">
        <v>1554</v>
      </c>
      <c r="G42" s="5" t="s">
        <v>5</v>
      </c>
      <c r="H42" s="4" t="s">
        <v>12</v>
      </c>
      <c r="I42" s="2" t="s">
        <v>911</v>
      </c>
      <c r="J42" s="4" t="s">
        <v>56</v>
      </c>
      <c r="K42" s="4" t="s">
        <v>9</v>
      </c>
      <c r="L42" s="4" t="s">
        <v>157</v>
      </c>
      <c r="M42" s="4" t="s">
        <v>11</v>
      </c>
      <c r="N42" s="2" t="s">
        <v>1221</v>
      </c>
      <c r="O42" s="2" t="s">
        <v>1204</v>
      </c>
      <c r="P42" s="2">
        <v>40</v>
      </c>
      <c r="Q42" s="3">
        <v>1</v>
      </c>
      <c r="R42" s="3" t="s">
        <v>832</v>
      </c>
      <c r="S42" s="2" t="s">
        <v>833</v>
      </c>
    </row>
    <row r="43" spans="1:19" ht="15.4" customHeight="1" x14ac:dyDescent="0.45">
      <c r="A43" s="2" t="s">
        <v>971</v>
      </c>
      <c r="B43" s="2" t="s">
        <v>26</v>
      </c>
      <c r="C43" s="10"/>
      <c r="E43" s="15">
        <v>27</v>
      </c>
      <c r="F43" s="2" t="s">
        <v>1554</v>
      </c>
      <c r="G43" s="5" t="s">
        <v>5</v>
      </c>
      <c r="H43" s="4" t="s">
        <v>12</v>
      </c>
      <c r="I43" s="2" t="s">
        <v>57</v>
      </c>
      <c r="J43" s="4" t="s">
        <v>58</v>
      </c>
      <c r="K43" s="4" t="s">
        <v>9</v>
      </c>
      <c r="L43" s="4" t="s">
        <v>158</v>
      </c>
      <c r="M43" s="4" t="s">
        <v>11</v>
      </c>
      <c r="N43" s="2" t="s">
        <v>1222</v>
      </c>
      <c r="O43" s="2" t="s">
        <v>1204</v>
      </c>
      <c r="P43" s="2" t="s">
        <v>830</v>
      </c>
      <c r="S43" s="2" t="s">
        <v>833</v>
      </c>
    </row>
    <row r="44" spans="1:19" ht="15.4" customHeight="1" x14ac:dyDescent="0.45">
      <c r="A44" s="2" t="s">
        <v>972</v>
      </c>
      <c r="B44" s="2" t="s">
        <v>26</v>
      </c>
      <c r="C44" s="10"/>
      <c r="E44" s="15">
        <v>28</v>
      </c>
      <c r="F44" s="2" t="s">
        <v>1554</v>
      </c>
      <c r="G44" s="5" t="s">
        <v>5</v>
      </c>
      <c r="H44" s="4" t="s">
        <v>12</v>
      </c>
      <c r="I44" s="2" t="s">
        <v>59</v>
      </c>
      <c r="J44" s="4" t="s">
        <v>60</v>
      </c>
      <c r="K44" s="4" t="s">
        <v>9</v>
      </c>
      <c r="L44" s="4" t="s">
        <v>159</v>
      </c>
      <c r="M44" s="4" t="s">
        <v>11</v>
      </c>
      <c r="N44" s="2" t="s">
        <v>1223</v>
      </c>
      <c r="O44" s="2" t="s">
        <v>1204</v>
      </c>
      <c r="P44" s="2">
        <v>40</v>
      </c>
      <c r="Q44" s="3">
        <v>1</v>
      </c>
      <c r="R44" s="3" t="s">
        <v>834</v>
      </c>
      <c r="S44" s="2" t="s">
        <v>835</v>
      </c>
    </row>
    <row r="45" spans="1:19" ht="15.4" customHeight="1" x14ac:dyDescent="0.45">
      <c r="A45" s="2" t="s">
        <v>973</v>
      </c>
      <c r="B45" s="2" t="s">
        <v>26</v>
      </c>
      <c r="C45" s="10"/>
      <c r="E45" s="15">
        <v>29</v>
      </c>
      <c r="F45" s="2" t="s">
        <v>1554</v>
      </c>
      <c r="G45" s="5" t="s">
        <v>5</v>
      </c>
      <c r="H45" s="4" t="s">
        <v>12</v>
      </c>
      <c r="I45" s="4" t="s">
        <v>61</v>
      </c>
      <c r="J45" s="4" t="s">
        <v>62</v>
      </c>
      <c r="K45" s="4" t="s">
        <v>9</v>
      </c>
      <c r="L45" s="4" t="s">
        <v>160</v>
      </c>
      <c r="M45" s="4" t="s">
        <v>11</v>
      </c>
      <c r="N45" s="2" t="s">
        <v>1224</v>
      </c>
      <c r="O45" s="2" t="s">
        <v>1204</v>
      </c>
      <c r="P45" s="2" t="s">
        <v>1527</v>
      </c>
      <c r="Q45" s="3" t="s">
        <v>827</v>
      </c>
      <c r="R45" s="3" t="s">
        <v>827</v>
      </c>
      <c r="S45" s="3" t="s">
        <v>827</v>
      </c>
    </row>
    <row r="46" spans="1:19" ht="15.4" customHeight="1" x14ac:dyDescent="0.45">
      <c r="A46" s="2" t="s">
        <v>974</v>
      </c>
      <c r="B46" s="2" t="s">
        <v>26</v>
      </c>
      <c r="C46" s="10"/>
      <c r="E46" s="15">
        <v>30</v>
      </c>
      <c r="F46" s="2" t="s">
        <v>1554</v>
      </c>
      <c r="G46" s="5" t="s">
        <v>5</v>
      </c>
      <c r="H46" s="4" t="s">
        <v>63</v>
      </c>
      <c r="I46" s="4" t="s">
        <v>190</v>
      </c>
      <c r="J46" s="4" t="s">
        <v>65</v>
      </c>
      <c r="K46" s="4" t="s">
        <v>9</v>
      </c>
      <c r="L46" s="4" t="s">
        <v>161</v>
      </c>
      <c r="M46" s="4" t="s">
        <v>11</v>
      </c>
      <c r="N46" s="2" t="s">
        <v>1225</v>
      </c>
      <c r="O46" s="2" t="s">
        <v>1204</v>
      </c>
      <c r="P46" s="2">
        <v>40</v>
      </c>
      <c r="Q46" s="3">
        <v>1</v>
      </c>
      <c r="R46" s="3" t="s">
        <v>836</v>
      </c>
      <c r="S46" s="2" t="s">
        <v>837</v>
      </c>
    </row>
    <row r="47" spans="1:19" ht="15.4" customHeight="1" x14ac:dyDescent="0.45">
      <c r="A47" s="2" t="s">
        <v>975</v>
      </c>
      <c r="B47" s="2" t="s">
        <v>26</v>
      </c>
      <c r="C47" s="10"/>
      <c r="E47" s="15">
        <v>31</v>
      </c>
      <c r="F47" s="2" t="s">
        <v>1554</v>
      </c>
      <c r="G47" s="5" t="s">
        <v>5</v>
      </c>
      <c r="H47" s="4" t="s">
        <v>63</v>
      </c>
      <c r="I47" s="2" t="s">
        <v>64</v>
      </c>
      <c r="J47" s="4" t="s">
        <v>65</v>
      </c>
      <c r="K47" s="4" t="s">
        <v>9</v>
      </c>
      <c r="L47" s="4" t="s">
        <v>162</v>
      </c>
      <c r="M47" s="2" t="s">
        <v>11</v>
      </c>
      <c r="N47" s="2" t="s">
        <v>1226</v>
      </c>
      <c r="O47" s="2" t="s">
        <v>1204</v>
      </c>
      <c r="P47" s="2">
        <v>40</v>
      </c>
      <c r="Q47" s="3">
        <v>1</v>
      </c>
      <c r="R47" s="3" t="s">
        <v>836</v>
      </c>
      <c r="S47" s="2" t="s">
        <v>837</v>
      </c>
    </row>
    <row r="48" spans="1:19" ht="15.4" customHeight="1" x14ac:dyDescent="0.45">
      <c r="A48" s="2" t="s">
        <v>976</v>
      </c>
      <c r="B48" s="2" t="s">
        <v>26</v>
      </c>
      <c r="C48" s="10"/>
      <c r="E48" s="15">
        <v>32</v>
      </c>
      <c r="F48" s="2" t="s">
        <v>1554</v>
      </c>
      <c r="G48" s="5" t="s">
        <v>5</v>
      </c>
      <c r="H48" s="4" t="s">
        <v>63</v>
      </c>
      <c r="I48" s="2" t="s">
        <v>66</v>
      </c>
      <c r="J48" s="4" t="s">
        <v>67</v>
      </c>
      <c r="K48" s="4" t="s">
        <v>9</v>
      </c>
      <c r="L48" s="4" t="s">
        <v>163</v>
      </c>
      <c r="M48" s="4" t="s">
        <v>11</v>
      </c>
      <c r="N48" s="2" t="s">
        <v>1227</v>
      </c>
      <c r="O48" s="2" t="s">
        <v>1204</v>
      </c>
      <c r="P48" s="2">
        <v>40</v>
      </c>
      <c r="Q48" s="3">
        <v>1</v>
      </c>
      <c r="R48" s="3" t="s">
        <v>836</v>
      </c>
      <c r="S48" s="2" t="s">
        <v>837</v>
      </c>
    </row>
    <row r="49" spans="1:19" ht="15.4" customHeight="1" x14ac:dyDescent="0.45">
      <c r="A49" s="2" t="s">
        <v>977</v>
      </c>
      <c r="B49" s="2" t="s">
        <v>26</v>
      </c>
      <c r="C49" s="10"/>
      <c r="E49" s="15">
        <v>33</v>
      </c>
      <c r="F49" s="2" t="s">
        <v>1554</v>
      </c>
      <c r="G49" s="5" t="s">
        <v>5</v>
      </c>
      <c r="H49" s="4" t="s">
        <v>63</v>
      </c>
      <c r="I49" s="4" t="s">
        <v>68</v>
      </c>
      <c r="J49" s="4" t="s">
        <v>69</v>
      </c>
      <c r="K49" s="4" t="s">
        <v>9</v>
      </c>
      <c r="L49" s="4" t="s">
        <v>164</v>
      </c>
      <c r="M49" s="4" t="s">
        <v>11</v>
      </c>
      <c r="N49" s="2" t="s">
        <v>1228</v>
      </c>
      <c r="O49" s="2" t="s">
        <v>1204</v>
      </c>
      <c r="P49" s="2">
        <v>40</v>
      </c>
      <c r="Q49" s="3">
        <v>1</v>
      </c>
      <c r="R49" s="3" t="s">
        <v>836</v>
      </c>
      <c r="S49" s="2" t="s">
        <v>837</v>
      </c>
    </row>
    <row r="50" spans="1:19" ht="15.4" customHeight="1" x14ac:dyDescent="0.45">
      <c r="A50" s="2" t="s">
        <v>978</v>
      </c>
      <c r="B50" s="2" t="s">
        <v>26</v>
      </c>
      <c r="C50" s="10"/>
      <c r="E50" s="15">
        <v>34</v>
      </c>
      <c r="F50" s="2" t="s">
        <v>1554</v>
      </c>
      <c r="G50" s="5" t="s">
        <v>5</v>
      </c>
      <c r="H50" s="2" t="s">
        <v>70</v>
      </c>
      <c r="I50" s="4" t="s">
        <v>71</v>
      </c>
      <c r="J50" s="4" t="s">
        <v>72</v>
      </c>
      <c r="K50" s="4" t="s">
        <v>9</v>
      </c>
      <c r="L50" s="4" t="s">
        <v>165</v>
      </c>
      <c r="M50" s="4" t="s">
        <v>11</v>
      </c>
      <c r="N50" s="2" t="s">
        <v>1229</v>
      </c>
      <c r="O50" s="2" t="s">
        <v>1204</v>
      </c>
      <c r="P50" s="2">
        <v>40</v>
      </c>
      <c r="Q50" s="3">
        <v>1</v>
      </c>
      <c r="R50" s="3" t="s">
        <v>832</v>
      </c>
      <c r="S50" s="2" t="s">
        <v>833</v>
      </c>
    </row>
    <row r="51" spans="1:19" ht="15.4" customHeight="1" x14ac:dyDescent="0.45">
      <c r="A51" s="2" t="s">
        <v>979</v>
      </c>
      <c r="B51" s="2" t="s">
        <v>26</v>
      </c>
      <c r="C51" s="10"/>
      <c r="E51" s="15">
        <v>35</v>
      </c>
      <c r="F51" s="2" t="s">
        <v>1554</v>
      </c>
      <c r="G51" s="5" t="s">
        <v>5</v>
      </c>
      <c r="H51" s="2" t="s">
        <v>70</v>
      </c>
      <c r="I51" s="4" t="s">
        <v>73</v>
      </c>
      <c r="J51" s="4" t="s">
        <v>74</v>
      </c>
      <c r="K51" s="4" t="s">
        <v>9</v>
      </c>
      <c r="L51" s="4" t="s">
        <v>75</v>
      </c>
      <c r="M51" s="4" t="s">
        <v>11</v>
      </c>
      <c r="N51" s="2" t="s">
        <v>1230</v>
      </c>
      <c r="O51" s="2" t="s">
        <v>1204</v>
      </c>
      <c r="P51" s="2">
        <v>40</v>
      </c>
      <c r="Q51" s="3">
        <v>1</v>
      </c>
      <c r="R51" s="3" t="s">
        <v>838</v>
      </c>
      <c r="S51" s="2" t="s">
        <v>839</v>
      </c>
    </row>
    <row r="52" spans="1:19" ht="15.4" customHeight="1" x14ac:dyDescent="0.45">
      <c r="A52" s="2" t="s">
        <v>980</v>
      </c>
      <c r="B52" s="2" t="s">
        <v>26</v>
      </c>
      <c r="C52" s="10"/>
      <c r="E52" s="15">
        <v>36</v>
      </c>
      <c r="F52" s="2" t="s">
        <v>1554</v>
      </c>
      <c r="G52" s="5" t="s">
        <v>5</v>
      </c>
      <c r="H52" s="2" t="s">
        <v>70</v>
      </c>
      <c r="I52" s="2" t="s">
        <v>76</v>
      </c>
      <c r="J52" s="4" t="s">
        <v>77</v>
      </c>
      <c r="K52" s="4" t="s">
        <v>9</v>
      </c>
      <c r="L52" s="4" t="s">
        <v>166</v>
      </c>
      <c r="M52" s="4" t="s">
        <v>11</v>
      </c>
      <c r="N52" s="2" t="s">
        <v>1231</v>
      </c>
      <c r="O52" s="2" t="s">
        <v>1204</v>
      </c>
      <c r="P52" s="2">
        <v>40</v>
      </c>
      <c r="Q52" s="3">
        <v>1</v>
      </c>
      <c r="R52" s="3" t="s">
        <v>838</v>
      </c>
      <c r="S52" s="2" t="s">
        <v>840</v>
      </c>
    </row>
    <row r="53" spans="1:19" ht="15.4" customHeight="1" x14ac:dyDescent="0.45">
      <c r="A53" s="2" t="s">
        <v>981</v>
      </c>
      <c r="B53" s="2" t="s">
        <v>26</v>
      </c>
      <c r="C53" s="10"/>
      <c r="E53" s="15">
        <v>37</v>
      </c>
      <c r="F53" s="2" t="s">
        <v>1554</v>
      </c>
      <c r="G53" s="5" t="s">
        <v>5</v>
      </c>
      <c r="H53" s="2" t="s">
        <v>70</v>
      </c>
      <c r="I53" s="4" t="s">
        <v>78</v>
      </c>
      <c r="J53" s="4" t="s">
        <v>79</v>
      </c>
      <c r="K53" s="4" t="s">
        <v>9</v>
      </c>
      <c r="L53" s="4" t="s">
        <v>167</v>
      </c>
      <c r="M53" s="4" t="s">
        <v>11</v>
      </c>
      <c r="N53" s="2" t="s">
        <v>1232</v>
      </c>
      <c r="O53" s="2" t="s">
        <v>1204</v>
      </c>
      <c r="P53" s="2">
        <v>40</v>
      </c>
      <c r="Q53" s="3">
        <v>1</v>
      </c>
      <c r="R53" s="3" t="s">
        <v>832</v>
      </c>
      <c r="S53" s="2" t="s">
        <v>833</v>
      </c>
    </row>
    <row r="54" spans="1:19" ht="15.4" customHeight="1" x14ac:dyDescent="0.45">
      <c r="A54" s="2" t="s">
        <v>982</v>
      </c>
      <c r="B54" s="2" t="s">
        <v>26</v>
      </c>
      <c r="C54" s="10"/>
      <c r="E54" s="15">
        <v>38</v>
      </c>
      <c r="F54" s="2" t="s">
        <v>1554</v>
      </c>
      <c r="G54" s="5" t="s">
        <v>5</v>
      </c>
      <c r="H54" s="2" t="s">
        <v>70</v>
      </c>
      <c r="I54" s="4" t="s">
        <v>81</v>
      </c>
      <c r="J54" s="4" t="s">
        <v>82</v>
      </c>
      <c r="K54" s="4" t="s">
        <v>9</v>
      </c>
      <c r="L54" s="4" t="s">
        <v>168</v>
      </c>
      <c r="M54" s="4" t="s">
        <v>11</v>
      </c>
      <c r="N54" s="2" t="s">
        <v>1233</v>
      </c>
      <c r="O54" s="2" t="s">
        <v>1204</v>
      </c>
      <c r="P54" s="2">
        <v>40</v>
      </c>
      <c r="Q54" s="3">
        <v>1</v>
      </c>
      <c r="R54" s="3" t="s">
        <v>832</v>
      </c>
      <c r="S54" s="2" t="s">
        <v>833</v>
      </c>
    </row>
    <row r="55" spans="1:19" ht="15.4" customHeight="1" x14ac:dyDescent="0.45">
      <c r="A55" s="2" t="s">
        <v>983</v>
      </c>
      <c r="B55" s="2" t="s">
        <v>26</v>
      </c>
      <c r="C55" s="10"/>
      <c r="E55" s="15">
        <v>39</v>
      </c>
      <c r="F55" s="2" t="s">
        <v>1554</v>
      </c>
      <c r="G55" s="5" t="s">
        <v>5</v>
      </c>
      <c r="H55" s="2" t="s">
        <v>70</v>
      </c>
      <c r="I55" s="4" t="s">
        <v>83</v>
      </c>
      <c r="J55" s="4" t="s">
        <v>84</v>
      </c>
      <c r="K55" s="3" t="s">
        <v>9</v>
      </c>
      <c r="L55" s="4" t="s">
        <v>169</v>
      </c>
      <c r="M55" s="2" t="s">
        <v>11</v>
      </c>
      <c r="N55" s="2" t="s">
        <v>1234</v>
      </c>
      <c r="O55" s="2" t="s">
        <v>1204</v>
      </c>
      <c r="P55" s="2">
        <v>40</v>
      </c>
      <c r="Q55" s="3">
        <v>1</v>
      </c>
      <c r="R55" s="3" t="s">
        <v>832</v>
      </c>
      <c r="S55" s="2" t="s">
        <v>833</v>
      </c>
    </row>
    <row r="56" spans="1:19" ht="15.4" customHeight="1" x14ac:dyDescent="0.45">
      <c r="A56" s="2" t="s">
        <v>984</v>
      </c>
      <c r="B56" s="2" t="s">
        <v>26</v>
      </c>
      <c r="C56" s="10"/>
      <c r="E56" s="15">
        <v>40</v>
      </c>
      <c r="F56" s="2" t="s">
        <v>1554</v>
      </c>
      <c r="G56" s="5" t="s">
        <v>5</v>
      </c>
      <c r="H56" s="2" t="s">
        <v>70</v>
      </c>
      <c r="I56" s="4" t="s">
        <v>85</v>
      </c>
      <c r="J56" s="4" t="s">
        <v>86</v>
      </c>
      <c r="K56" s="4" t="s">
        <v>9</v>
      </c>
      <c r="L56" s="4" t="s">
        <v>170</v>
      </c>
      <c r="M56" s="4" t="s">
        <v>11</v>
      </c>
      <c r="N56" s="2" t="s">
        <v>1235</v>
      </c>
      <c r="O56" s="2" t="s">
        <v>1204</v>
      </c>
      <c r="P56" s="2">
        <v>40</v>
      </c>
      <c r="Q56" s="3">
        <v>1</v>
      </c>
      <c r="R56" s="3" t="s">
        <v>841</v>
      </c>
      <c r="S56" s="2" t="s">
        <v>842</v>
      </c>
    </row>
    <row r="57" spans="1:19" ht="15.4" customHeight="1" x14ac:dyDescent="0.45">
      <c r="A57" s="2" t="s">
        <v>985</v>
      </c>
      <c r="B57" s="2" t="s">
        <v>26</v>
      </c>
      <c r="C57" s="10"/>
      <c r="E57" s="15">
        <v>41</v>
      </c>
      <c r="F57" s="2" t="s">
        <v>1554</v>
      </c>
      <c r="G57" s="5" t="s">
        <v>5</v>
      </c>
      <c r="H57" s="2" t="s">
        <v>70</v>
      </c>
      <c r="I57" s="4" t="s">
        <v>87</v>
      </c>
      <c r="J57" s="4" t="s">
        <v>88</v>
      </c>
      <c r="K57" s="4" t="s">
        <v>9</v>
      </c>
      <c r="L57" s="4" t="s">
        <v>171</v>
      </c>
      <c r="M57" s="4" t="s">
        <v>11</v>
      </c>
      <c r="N57" s="2" t="s">
        <v>1236</v>
      </c>
      <c r="O57" s="2" t="s">
        <v>1204</v>
      </c>
      <c r="P57" s="2">
        <v>40</v>
      </c>
      <c r="Q57" s="3">
        <v>1</v>
      </c>
      <c r="R57" s="3" t="s">
        <v>841</v>
      </c>
      <c r="S57" s="2" t="s">
        <v>842</v>
      </c>
    </row>
    <row r="58" spans="1:19" ht="15.4" customHeight="1" x14ac:dyDescent="0.45">
      <c r="A58" s="2" t="s">
        <v>986</v>
      </c>
      <c r="B58" s="2" t="s">
        <v>26</v>
      </c>
      <c r="C58" s="10"/>
      <c r="E58" s="15">
        <v>42</v>
      </c>
      <c r="F58" s="2" t="s">
        <v>1554</v>
      </c>
      <c r="G58" s="5" t="s">
        <v>5</v>
      </c>
      <c r="H58" s="2" t="s">
        <v>70</v>
      </c>
      <c r="I58" s="4" t="s">
        <v>89</v>
      </c>
      <c r="J58" s="8" t="s">
        <v>128</v>
      </c>
      <c r="K58" s="4" t="s">
        <v>9</v>
      </c>
      <c r="L58" s="7"/>
      <c r="N58" s="2" t="s">
        <v>1237</v>
      </c>
      <c r="O58" s="2" t="s">
        <v>1204</v>
      </c>
    </row>
    <row r="59" spans="1:19" ht="15.4" customHeight="1" x14ac:dyDescent="0.45">
      <c r="A59" s="2" t="s">
        <v>987</v>
      </c>
      <c r="B59" s="2" t="s">
        <v>26</v>
      </c>
      <c r="C59" s="10"/>
      <c r="E59" s="15">
        <v>43</v>
      </c>
      <c r="F59" s="2" t="s">
        <v>1554</v>
      </c>
      <c r="G59" s="5" t="s">
        <v>5</v>
      </c>
      <c r="H59" s="2" t="s">
        <v>70</v>
      </c>
      <c r="I59" s="2" t="s">
        <v>90</v>
      </c>
      <c r="J59" s="8" t="s">
        <v>129</v>
      </c>
      <c r="K59" s="4" t="s">
        <v>9</v>
      </c>
      <c r="L59" s="7"/>
      <c r="N59" s="2" t="s">
        <v>1238</v>
      </c>
      <c r="O59" s="2" t="s">
        <v>1204</v>
      </c>
    </row>
    <row r="60" spans="1:19" ht="15.4" customHeight="1" x14ac:dyDescent="0.45">
      <c r="A60" s="2" t="s">
        <v>988</v>
      </c>
      <c r="B60" s="2" t="s">
        <v>26</v>
      </c>
      <c r="C60" s="10"/>
      <c r="E60" s="15">
        <v>44</v>
      </c>
      <c r="F60" s="2" t="s">
        <v>1554</v>
      </c>
      <c r="G60" s="5" t="s">
        <v>5</v>
      </c>
      <c r="H60" s="2" t="s">
        <v>70</v>
      </c>
      <c r="I60" s="2" t="s">
        <v>91</v>
      </c>
      <c r="J60" s="8" t="s">
        <v>130</v>
      </c>
      <c r="K60" s="4" t="s">
        <v>9</v>
      </c>
      <c r="L60" s="7"/>
      <c r="N60" s="2" t="s">
        <v>1239</v>
      </c>
      <c r="O60" s="2" t="s">
        <v>1204</v>
      </c>
    </row>
    <row r="61" spans="1:19" ht="15.4" customHeight="1" x14ac:dyDescent="0.45">
      <c r="A61" s="2" t="s">
        <v>989</v>
      </c>
      <c r="B61" s="2" t="s">
        <v>26</v>
      </c>
      <c r="C61" s="10"/>
      <c r="E61" s="15">
        <v>45</v>
      </c>
      <c r="F61" s="2" t="s">
        <v>1554</v>
      </c>
      <c r="G61" s="5" t="s">
        <v>5</v>
      </c>
      <c r="H61" s="2" t="s">
        <v>70</v>
      </c>
      <c r="I61" s="2" t="s">
        <v>92</v>
      </c>
      <c r="J61" s="8" t="s">
        <v>131</v>
      </c>
      <c r="K61" s="4" t="s">
        <v>9</v>
      </c>
      <c r="L61" s="7"/>
      <c r="N61" s="2" t="s">
        <v>1240</v>
      </c>
      <c r="O61" s="2" t="s">
        <v>1204</v>
      </c>
    </row>
    <row r="62" spans="1:19" ht="15.4" customHeight="1" x14ac:dyDescent="0.45">
      <c r="A62" s="2" t="s">
        <v>990</v>
      </c>
      <c r="B62" s="2" t="s">
        <v>26</v>
      </c>
      <c r="C62" s="10"/>
      <c r="E62" s="15">
        <v>46</v>
      </c>
      <c r="F62" s="2" t="s">
        <v>1554</v>
      </c>
      <c r="G62" s="5" t="s">
        <v>5</v>
      </c>
      <c r="H62" s="2" t="s">
        <v>70</v>
      </c>
      <c r="I62" s="2" t="s">
        <v>93</v>
      </c>
      <c r="J62" s="8" t="s">
        <v>132</v>
      </c>
      <c r="K62" s="4" t="s">
        <v>9</v>
      </c>
      <c r="L62" s="7"/>
      <c r="N62" s="2" t="s">
        <v>1241</v>
      </c>
      <c r="O62" s="2" t="s">
        <v>1204</v>
      </c>
    </row>
    <row r="63" spans="1:19" ht="15.4" customHeight="1" x14ac:dyDescent="0.45">
      <c r="A63" s="2" t="s">
        <v>991</v>
      </c>
      <c r="B63" s="2" t="s">
        <v>26</v>
      </c>
      <c r="C63" s="10"/>
      <c r="E63" s="15">
        <v>47</v>
      </c>
      <c r="F63" s="2" t="s">
        <v>1554</v>
      </c>
      <c r="G63" s="5" t="s">
        <v>5</v>
      </c>
      <c r="H63" s="2" t="s">
        <v>70</v>
      </c>
      <c r="I63" s="2" t="s">
        <v>94</v>
      </c>
      <c r="J63" s="4" t="s">
        <v>95</v>
      </c>
      <c r="K63" s="4" t="s">
        <v>9</v>
      </c>
      <c r="L63" s="4" t="s">
        <v>172</v>
      </c>
      <c r="M63" s="4" t="s">
        <v>11</v>
      </c>
      <c r="N63" s="2" t="s">
        <v>1242</v>
      </c>
      <c r="O63" s="2" t="s">
        <v>1204</v>
      </c>
      <c r="P63" s="2">
        <v>40</v>
      </c>
      <c r="Q63" s="3">
        <v>1</v>
      </c>
      <c r="R63" s="3" t="s">
        <v>843</v>
      </c>
      <c r="S63" s="2" t="s">
        <v>844</v>
      </c>
    </row>
    <row r="64" spans="1:19" ht="15.4" customHeight="1" x14ac:dyDescent="0.45">
      <c r="A64" s="2" t="s">
        <v>992</v>
      </c>
      <c r="B64" s="2" t="s">
        <v>26</v>
      </c>
      <c r="C64" s="10"/>
      <c r="E64" s="15">
        <v>48</v>
      </c>
      <c r="F64" s="2" t="s">
        <v>1554</v>
      </c>
      <c r="G64" s="5" t="s">
        <v>5</v>
      </c>
      <c r="H64" s="2" t="s">
        <v>70</v>
      </c>
      <c r="I64" s="4" t="s">
        <v>73</v>
      </c>
      <c r="J64" s="4" t="s">
        <v>96</v>
      </c>
      <c r="K64" s="4" t="s">
        <v>9</v>
      </c>
      <c r="L64" s="4" t="s">
        <v>97</v>
      </c>
      <c r="M64" s="4" t="s">
        <v>11</v>
      </c>
      <c r="N64" s="2" t="s">
        <v>1243</v>
      </c>
      <c r="O64" s="2" t="s">
        <v>1204</v>
      </c>
      <c r="P64" s="2">
        <v>40</v>
      </c>
      <c r="Q64" s="3">
        <v>1</v>
      </c>
      <c r="R64" s="3" t="s">
        <v>832</v>
      </c>
      <c r="S64" s="2" t="s">
        <v>833</v>
      </c>
    </row>
    <row r="65" spans="1:19" ht="15.4" customHeight="1" x14ac:dyDescent="0.45">
      <c r="A65" s="2" t="s">
        <v>993</v>
      </c>
      <c r="B65" s="2" t="s">
        <v>26</v>
      </c>
      <c r="C65" s="10"/>
      <c r="E65" s="15">
        <v>49</v>
      </c>
      <c r="F65" s="2" t="s">
        <v>1554</v>
      </c>
      <c r="G65" s="5" t="s">
        <v>5</v>
      </c>
      <c r="H65" s="2" t="s">
        <v>70</v>
      </c>
      <c r="I65" s="4" t="s">
        <v>98</v>
      </c>
      <c r="J65" s="4" t="s">
        <v>99</v>
      </c>
      <c r="K65" s="4" t="s">
        <v>9</v>
      </c>
      <c r="L65" s="4" t="s">
        <v>173</v>
      </c>
      <c r="M65" s="4" t="s">
        <v>11</v>
      </c>
      <c r="N65" s="2" t="s">
        <v>1244</v>
      </c>
      <c r="O65" s="2" t="s">
        <v>1204</v>
      </c>
      <c r="P65" s="2">
        <v>40</v>
      </c>
      <c r="Q65" s="3">
        <v>1</v>
      </c>
      <c r="R65" s="3" t="s">
        <v>832</v>
      </c>
      <c r="S65" s="2" t="s">
        <v>833</v>
      </c>
    </row>
    <row r="66" spans="1:19" ht="15.4" customHeight="1" x14ac:dyDescent="0.45">
      <c r="A66" s="2" t="s">
        <v>994</v>
      </c>
      <c r="B66" s="2" t="s">
        <v>26</v>
      </c>
      <c r="C66" s="10"/>
      <c r="E66" s="15">
        <v>50</v>
      </c>
      <c r="F66" s="2" t="s">
        <v>1554</v>
      </c>
      <c r="G66" s="5" t="s">
        <v>5</v>
      </c>
      <c r="H66" s="2" t="s">
        <v>70</v>
      </c>
      <c r="I66" s="4" t="s">
        <v>100</v>
      </c>
      <c r="J66" s="4" t="s">
        <v>101</v>
      </c>
      <c r="K66" s="4" t="s">
        <v>9</v>
      </c>
      <c r="L66" s="4" t="s">
        <v>174</v>
      </c>
      <c r="M66" s="4" t="s">
        <v>11</v>
      </c>
      <c r="N66" s="2" t="s">
        <v>1245</v>
      </c>
      <c r="O66" s="2" t="s">
        <v>1204</v>
      </c>
      <c r="P66" s="2">
        <v>40</v>
      </c>
      <c r="Q66" s="3">
        <v>1</v>
      </c>
      <c r="R66" s="3" t="s">
        <v>832</v>
      </c>
      <c r="S66" s="2" t="s">
        <v>833</v>
      </c>
    </row>
    <row r="67" spans="1:19" ht="15.4" customHeight="1" x14ac:dyDescent="0.45">
      <c r="A67" s="2" t="s">
        <v>995</v>
      </c>
      <c r="B67" s="2" t="s">
        <v>26</v>
      </c>
      <c r="C67" s="10"/>
      <c r="E67" s="15">
        <v>51</v>
      </c>
      <c r="F67" s="2" t="s">
        <v>1554</v>
      </c>
      <c r="G67" s="5" t="s">
        <v>5</v>
      </c>
      <c r="H67" s="2" t="s">
        <v>70</v>
      </c>
      <c r="I67" s="4" t="s">
        <v>73</v>
      </c>
      <c r="J67" s="4" t="s">
        <v>133</v>
      </c>
      <c r="K67" s="4" t="s">
        <v>9</v>
      </c>
      <c r="L67" s="4" t="s">
        <v>102</v>
      </c>
      <c r="M67" s="4" t="s">
        <v>11</v>
      </c>
      <c r="N67" s="2" t="s">
        <v>1246</v>
      </c>
      <c r="O67" s="2" t="s">
        <v>1204</v>
      </c>
      <c r="P67" s="2">
        <v>40</v>
      </c>
      <c r="Q67" s="3">
        <v>1</v>
      </c>
      <c r="R67" s="3" t="s">
        <v>832</v>
      </c>
      <c r="S67" s="2" t="s">
        <v>833</v>
      </c>
    </row>
    <row r="68" spans="1:19" ht="15.4" customHeight="1" x14ac:dyDescent="0.45">
      <c r="A68" s="2" t="s">
        <v>996</v>
      </c>
      <c r="B68" s="2" t="s">
        <v>26</v>
      </c>
      <c r="C68" s="10"/>
      <c r="E68" s="15">
        <v>52</v>
      </c>
      <c r="F68" s="2" t="s">
        <v>1554</v>
      </c>
      <c r="G68" s="5" t="s">
        <v>5</v>
      </c>
      <c r="H68" s="2" t="s">
        <v>70</v>
      </c>
      <c r="I68" s="4" t="s">
        <v>103</v>
      </c>
      <c r="J68" s="4" t="s">
        <v>104</v>
      </c>
      <c r="K68" s="4" t="s">
        <v>9</v>
      </c>
      <c r="L68" s="4" t="s">
        <v>175</v>
      </c>
      <c r="M68" s="4" t="s">
        <v>11</v>
      </c>
      <c r="N68" s="2" t="s">
        <v>1247</v>
      </c>
      <c r="O68" s="2" t="s">
        <v>1204</v>
      </c>
      <c r="P68" s="2">
        <v>40</v>
      </c>
      <c r="Q68" s="3">
        <v>1</v>
      </c>
      <c r="R68" s="3" t="s">
        <v>832</v>
      </c>
      <c r="S68" s="2" t="s">
        <v>833</v>
      </c>
    </row>
    <row r="69" spans="1:19" ht="15.4" customHeight="1" x14ac:dyDescent="0.45">
      <c r="A69" s="2" t="s">
        <v>997</v>
      </c>
      <c r="B69" s="2" t="s">
        <v>26</v>
      </c>
      <c r="C69" s="10"/>
      <c r="E69" s="15">
        <v>53</v>
      </c>
      <c r="F69" s="2" t="s">
        <v>1554</v>
      </c>
      <c r="G69" s="5" t="s">
        <v>5</v>
      </c>
      <c r="H69" s="2" t="s">
        <v>70</v>
      </c>
      <c r="I69" s="4" t="s">
        <v>100</v>
      </c>
      <c r="J69" s="4" t="s">
        <v>105</v>
      </c>
      <c r="K69" s="4" t="s">
        <v>9</v>
      </c>
      <c r="L69" s="4" t="s">
        <v>176</v>
      </c>
      <c r="M69" s="4" t="s">
        <v>11</v>
      </c>
      <c r="N69" s="2" t="s">
        <v>1248</v>
      </c>
      <c r="O69" s="2" t="s">
        <v>1204</v>
      </c>
      <c r="P69" s="2">
        <v>40</v>
      </c>
      <c r="Q69" s="3">
        <v>1</v>
      </c>
      <c r="R69" s="3" t="s">
        <v>832</v>
      </c>
      <c r="S69" s="2" t="s">
        <v>833</v>
      </c>
    </row>
    <row r="70" spans="1:19" ht="15.4" customHeight="1" x14ac:dyDescent="0.45">
      <c r="A70" s="2" t="s">
        <v>998</v>
      </c>
      <c r="B70" s="2" t="s">
        <v>26</v>
      </c>
      <c r="C70" s="10"/>
      <c r="E70" s="15">
        <v>54</v>
      </c>
      <c r="F70" s="2" t="s">
        <v>1554</v>
      </c>
      <c r="G70" s="5" t="s">
        <v>5</v>
      </c>
      <c r="H70" s="2" t="s">
        <v>70</v>
      </c>
      <c r="I70" s="4" t="s">
        <v>54</v>
      </c>
      <c r="J70" s="4" t="s">
        <v>106</v>
      </c>
      <c r="K70" s="4" t="s">
        <v>9</v>
      </c>
      <c r="L70" s="4" t="s">
        <v>177</v>
      </c>
      <c r="M70" s="4" t="s">
        <v>11</v>
      </c>
      <c r="N70" s="2" t="s">
        <v>1249</v>
      </c>
      <c r="O70" s="2" t="s">
        <v>1204</v>
      </c>
      <c r="P70" s="2">
        <v>40</v>
      </c>
      <c r="Q70" s="3">
        <v>1</v>
      </c>
      <c r="R70" s="3" t="s">
        <v>832</v>
      </c>
      <c r="S70" s="2" t="s">
        <v>833</v>
      </c>
    </row>
    <row r="71" spans="1:19" ht="15.4" customHeight="1" x14ac:dyDescent="0.45">
      <c r="A71" s="2" t="s">
        <v>999</v>
      </c>
      <c r="B71" s="2" t="s">
        <v>26</v>
      </c>
      <c r="C71" s="10"/>
      <c r="E71" s="15">
        <v>55</v>
      </c>
      <c r="F71" s="2" t="s">
        <v>1554</v>
      </c>
      <c r="G71" s="5" t="s">
        <v>5</v>
      </c>
      <c r="H71" s="2" t="s">
        <v>70</v>
      </c>
      <c r="I71" s="4" t="s">
        <v>107</v>
      </c>
      <c r="J71" s="4" t="s">
        <v>108</v>
      </c>
      <c r="K71" s="4" t="s">
        <v>9</v>
      </c>
      <c r="L71" s="4" t="s">
        <v>178</v>
      </c>
      <c r="M71" s="4" t="s">
        <v>11</v>
      </c>
      <c r="N71" s="2" t="s">
        <v>1250</v>
      </c>
      <c r="O71" s="2" t="s">
        <v>1204</v>
      </c>
      <c r="P71" s="2">
        <v>40</v>
      </c>
      <c r="Q71" s="3">
        <v>1</v>
      </c>
      <c r="R71" s="3" t="s">
        <v>832</v>
      </c>
      <c r="S71" s="2" t="s">
        <v>833</v>
      </c>
    </row>
    <row r="72" spans="1:19" ht="15.4" customHeight="1" x14ac:dyDescent="0.45">
      <c r="A72" s="2" t="s">
        <v>1000</v>
      </c>
      <c r="B72" s="2" t="s">
        <v>26</v>
      </c>
      <c r="C72" s="10"/>
      <c r="E72" s="15">
        <v>56</v>
      </c>
      <c r="F72" s="2" t="s">
        <v>1554</v>
      </c>
      <c r="G72" s="5" t="s">
        <v>5</v>
      </c>
      <c r="H72" s="2" t="s">
        <v>70</v>
      </c>
      <c r="I72" s="4" t="s">
        <v>109</v>
      </c>
      <c r="J72" s="4" t="s">
        <v>110</v>
      </c>
      <c r="K72" s="4" t="s">
        <v>9</v>
      </c>
      <c r="L72" s="4" t="s">
        <v>179</v>
      </c>
      <c r="M72" s="4" t="s">
        <v>11</v>
      </c>
      <c r="N72" s="2" t="s">
        <v>1251</v>
      </c>
      <c r="O72" s="2" t="s">
        <v>1204</v>
      </c>
      <c r="P72" s="2">
        <v>40</v>
      </c>
      <c r="Q72" s="3">
        <v>1</v>
      </c>
      <c r="R72" s="3" t="s">
        <v>832</v>
      </c>
      <c r="S72" s="2" t="s">
        <v>833</v>
      </c>
    </row>
    <row r="73" spans="1:19" ht="15.4" customHeight="1" x14ac:dyDescent="0.45">
      <c r="A73" s="2" t="s">
        <v>1001</v>
      </c>
      <c r="B73" s="2" t="s">
        <v>26</v>
      </c>
      <c r="C73" s="10"/>
      <c r="E73" s="15">
        <v>57</v>
      </c>
      <c r="F73" s="2" t="s">
        <v>1554</v>
      </c>
      <c r="G73" s="5" t="s">
        <v>5</v>
      </c>
      <c r="H73" s="2" t="s">
        <v>70</v>
      </c>
      <c r="I73" s="4" t="s">
        <v>111</v>
      </c>
      <c r="J73" s="4" t="s">
        <v>112</v>
      </c>
      <c r="K73" s="4" t="s">
        <v>9</v>
      </c>
      <c r="L73" s="4" t="s">
        <v>180</v>
      </c>
      <c r="M73" s="4" t="s">
        <v>11</v>
      </c>
      <c r="N73" s="2" t="s">
        <v>1252</v>
      </c>
      <c r="O73" s="2" t="s">
        <v>1204</v>
      </c>
      <c r="P73" s="2">
        <v>40</v>
      </c>
      <c r="Q73" s="3">
        <v>1</v>
      </c>
      <c r="R73" s="3" t="s">
        <v>832</v>
      </c>
      <c r="S73" s="2" t="s">
        <v>833</v>
      </c>
    </row>
    <row r="74" spans="1:19" ht="15.4" customHeight="1" x14ac:dyDescent="0.45">
      <c r="A74" s="2" t="s">
        <v>1002</v>
      </c>
      <c r="B74" s="2" t="s">
        <v>26</v>
      </c>
      <c r="C74" s="10"/>
      <c r="E74" s="15">
        <v>58</v>
      </c>
      <c r="F74" s="2" t="s">
        <v>1554</v>
      </c>
      <c r="G74" s="5" t="s">
        <v>5</v>
      </c>
      <c r="H74" s="2" t="s">
        <v>70</v>
      </c>
      <c r="I74" s="4" t="s">
        <v>113</v>
      </c>
      <c r="J74" s="4" t="s">
        <v>114</v>
      </c>
      <c r="K74" s="4" t="s">
        <v>9</v>
      </c>
      <c r="L74" s="4" t="s">
        <v>181</v>
      </c>
      <c r="M74" s="4" t="s">
        <v>11</v>
      </c>
      <c r="N74" s="2" t="s">
        <v>1253</v>
      </c>
      <c r="O74" s="2" t="s">
        <v>1204</v>
      </c>
      <c r="P74" s="2">
        <v>40</v>
      </c>
      <c r="Q74" s="3">
        <v>1</v>
      </c>
      <c r="R74" s="3" t="s">
        <v>832</v>
      </c>
      <c r="S74" s="2" t="s">
        <v>833</v>
      </c>
    </row>
    <row r="75" spans="1:19" ht="15.4" customHeight="1" x14ac:dyDescent="0.45">
      <c r="A75" s="2" t="s">
        <v>1003</v>
      </c>
      <c r="B75" s="2" t="s">
        <v>26</v>
      </c>
      <c r="C75" s="10"/>
      <c r="E75" s="15">
        <v>59</v>
      </c>
      <c r="F75" s="2" t="s">
        <v>1554</v>
      </c>
      <c r="G75" s="5" t="s">
        <v>5</v>
      </c>
      <c r="H75" s="2" t="s">
        <v>70</v>
      </c>
      <c r="I75" s="4" t="s">
        <v>73</v>
      </c>
      <c r="J75" s="4" t="s">
        <v>115</v>
      </c>
      <c r="K75" s="4" t="s">
        <v>9</v>
      </c>
      <c r="L75" s="4" t="s">
        <v>182</v>
      </c>
      <c r="M75" s="4" t="s">
        <v>11</v>
      </c>
      <c r="N75" s="2" t="s">
        <v>1254</v>
      </c>
      <c r="O75" s="2" t="s">
        <v>1204</v>
      </c>
      <c r="P75" s="2" t="s">
        <v>826</v>
      </c>
    </row>
    <row r="76" spans="1:19" ht="15.4" customHeight="1" x14ac:dyDescent="0.45">
      <c r="A76" s="2" t="s">
        <v>1004</v>
      </c>
      <c r="B76" s="2" t="s">
        <v>26</v>
      </c>
      <c r="C76" s="10"/>
      <c r="E76" s="15">
        <v>60</v>
      </c>
      <c r="F76" s="2" t="s">
        <v>1554</v>
      </c>
      <c r="G76" s="5" t="s">
        <v>5</v>
      </c>
      <c r="H76" s="2" t="s">
        <v>70</v>
      </c>
      <c r="I76" s="4" t="s">
        <v>100</v>
      </c>
      <c r="J76" s="4" t="s">
        <v>116</v>
      </c>
      <c r="K76" s="4" t="s">
        <v>9</v>
      </c>
      <c r="L76" s="4" t="s">
        <v>183</v>
      </c>
      <c r="M76" s="4" t="s">
        <v>11</v>
      </c>
      <c r="N76" s="2" t="s">
        <v>1255</v>
      </c>
      <c r="O76" s="2" t="s">
        <v>1204</v>
      </c>
      <c r="P76" s="2" t="s">
        <v>827</v>
      </c>
    </row>
    <row r="77" spans="1:19" ht="15.4" customHeight="1" x14ac:dyDescent="0.45">
      <c r="A77" s="2" t="s">
        <v>1005</v>
      </c>
      <c r="B77" s="2" t="s">
        <v>26</v>
      </c>
      <c r="C77" s="10"/>
      <c r="E77" s="15">
        <v>61</v>
      </c>
      <c r="F77" s="2" t="s">
        <v>1554</v>
      </c>
      <c r="G77" s="5" t="s">
        <v>5</v>
      </c>
      <c r="H77" s="2" t="s">
        <v>70</v>
      </c>
      <c r="I77" s="4" t="s">
        <v>57</v>
      </c>
      <c r="J77" s="4" t="s">
        <v>117</v>
      </c>
      <c r="K77" s="4" t="s">
        <v>9</v>
      </c>
      <c r="L77" s="4" t="s">
        <v>184</v>
      </c>
      <c r="M77" s="4" t="s">
        <v>11</v>
      </c>
      <c r="N77" s="2" t="s">
        <v>1256</v>
      </c>
      <c r="O77" s="2" t="s">
        <v>1204</v>
      </c>
      <c r="P77" s="2" t="s">
        <v>826</v>
      </c>
    </row>
    <row r="78" spans="1:19" ht="15.4" customHeight="1" x14ac:dyDescent="0.45">
      <c r="A78" s="2" t="s">
        <v>1006</v>
      </c>
      <c r="B78" s="2" t="s">
        <v>26</v>
      </c>
      <c r="C78" s="10"/>
      <c r="E78" s="15">
        <v>62</v>
      </c>
      <c r="F78" s="2" t="s">
        <v>1554</v>
      </c>
      <c r="G78" s="5" t="s">
        <v>5</v>
      </c>
      <c r="H78" s="2" t="s">
        <v>70</v>
      </c>
      <c r="I78" s="4" t="s">
        <v>118</v>
      </c>
      <c r="J78" s="4" t="s">
        <v>119</v>
      </c>
      <c r="K78" s="4" t="s">
        <v>9</v>
      </c>
      <c r="L78" s="4" t="s">
        <v>185</v>
      </c>
      <c r="M78" s="4" t="s">
        <v>11</v>
      </c>
      <c r="N78" s="2" t="s">
        <v>1257</v>
      </c>
      <c r="O78" s="2" t="s">
        <v>1204</v>
      </c>
      <c r="P78" s="2" t="s">
        <v>826</v>
      </c>
    </row>
    <row r="79" spans="1:19" ht="15.4" customHeight="1" x14ac:dyDescent="0.45">
      <c r="A79" s="2" t="s">
        <v>1007</v>
      </c>
      <c r="B79" s="2" t="s">
        <v>26</v>
      </c>
      <c r="C79" s="10"/>
      <c r="E79" s="15">
        <v>63</v>
      </c>
      <c r="F79" s="2" t="s">
        <v>1554</v>
      </c>
      <c r="G79" s="5" t="s">
        <v>5</v>
      </c>
      <c r="H79" s="2" t="s">
        <v>70</v>
      </c>
      <c r="I79" s="4" t="s">
        <v>120</v>
      </c>
      <c r="J79" s="4" t="s">
        <v>121</v>
      </c>
      <c r="K79" s="4" t="s">
        <v>9</v>
      </c>
      <c r="L79" s="4" t="s">
        <v>186</v>
      </c>
      <c r="M79" s="4" t="s">
        <v>11</v>
      </c>
      <c r="N79" s="2" t="s">
        <v>1258</v>
      </c>
      <c r="O79" s="2" t="s">
        <v>1204</v>
      </c>
      <c r="P79" s="2" t="s">
        <v>826</v>
      </c>
    </row>
    <row r="80" spans="1:19" ht="15.4" customHeight="1" x14ac:dyDescent="0.45">
      <c r="A80" s="2" t="s">
        <v>1008</v>
      </c>
      <c r="B80" s="2" t="s">
        <v>26</v>
      </c>
      <c r="C80" s="10"/>
      <c r="E80" s="15">
        <v>64</v>
      </c>
      <c r="F80" s="2" t="s">
        <v>1554</v>
      </c>
      <c r="G80" s="5" t="s">
        <v>5</v>
      </c>
      <c r="H80" s="2" t="s">
        <v>70</v>
      </c>
      <c r="I80" s="4" t="s">
        <v>122</v>
      </c>
      <c r="J80" s="4" t="s">
        <v>123</v>
      </c>
      <c r="K80" s="4" t="s">
        <v>9</v>
      </c>
      <c r="L80" s="4" t="s">
        <v>187</v>
      </c>
      <c r="M80" s="4" t="s">
        <v>11</v>
      </c>
      <c r="N80" s="2" t="s">
        <v>1259</v>
      </c>
      <c r="O80" s="2" t="s">
        <v>1204</v>
      </c>
      <c r="P80" s="2" t="s">
        <v>826</v>
      </c>
    </row>
    <row r="81" spans="1:19" ht="15.4" customHeight="1" x14ac:dyDescent="0.45">
      <c r="A81" s="2" t="s">
        <v>1009</v>
      </c>
      <c r="B81" s="2" t="s">
        <v>26</v>
      </c>
      <c r="C81" s="10"/>
      <c r="E81" s="15">
        <v>65</v>
      </c>
      <c r="F81" s="2" t="s">
        <v>1554</v>
      </c>
      <c r="G81" s="5" t="s">
        <v>5</v>
      </c>
      <c r="H81" s="2" t="s">
        <v>70</v>
      </c>
      <c r="I81" s="4" t="s">
        <v>124</v>
      </c>
      <c r="J81" s="4" t="s">
        <v>125</v>
      </c>
      <c r="K81" s="4" t="s">
        <v>9</v>
      </c>
      <c r="L81" s="4" t="s">
        <v>188</v>
      </c>
      <c r="M81" s="4" t="s">
        <v>11</v>
      </c>
      <c r="N81" s="2" t="s">
        <v>1260</v>
      </c>
      <c r="O81" s="2" t="s">
        <v>1204</v>
      </c>
      <c r="P81" s="2">
        <v>40</v>
      </c>
      <c r="Q81" s="3">
        <v>1</v>
      </c>
      <c r="R81" s="3" t="s">
        <v>841</v>
      </c>
      <c r="S81" s="2" t="s">
        <v>842</v>
      </c>
    </row>
    <row r="82" spans="1:19" ht="15.4" customHeight="1" x14ac:dyDescent="0.45">
      <c r="A82" s="2" t="s">
        <v>1010</v>
      </c>
      <c r="B82" s="2" t="s">
        <v>26</v>
      </c>
      <c r="C82" s="10"/>
      <c r="E82" s="15">
        <v>66</v>
      </c>
      <c r="F82" s="2" t="s">
        <v>1554</v>
      </c>
      <c r="G82" s="5" t="s">
        <v>5</v>
      </c>
      <c r="H82" s="2" t="s">
        <v>70</v>
      </c>
      <c r="I82" s="4" t="s">
        <v>126</v>
      </c>
      <c r="J82" s="4" t="s">
        <v>127</v>
      </c>
      <c r="K82" s="4" t="s">
        <v>9</v>
      </c>
      <c r="L82" s="4" t="s">
        <v>189</v>
      </c>
      <c r="M82" s="4" t="s">
        <v>11</v>
      </c>
      <c r="N82" s="2" t="s">
        <v>1261</v>
      </c>
      <c r="O82" s="2" t="s">
        <v>1204</v>
      </c>
      <c r="P82" s="2" t="s">
        <v>827</v>
      </c>
    </row>
    <row r="83" spans="1:19" ht="15.4" customHeight="1" x14ac:dyDescent="0.45">
      <c r="A83" s="2" t="s">
        <v>1542</v>
      </c>
      <c r="B83" s="2" t="s">
        <v>26</v>
      </c>
      <c r="C83" s="10" t="s">
        <v>1584</v>
      </c>
      <c r="E83" s="15">
        <v>1</v>
      </c>
      <c r="G83" s="5" t="s">
        <v>1530</v>
      </c>
      <c r="J83" s="2" t="s">
        <v>1533</v>
      </c>
      <c r="K83" s="4"/>
      <c r="L83" s="4"/>
      <c r="M83" s="4"/>
      <c r="O83" s="2"/>
    </row>
    <row r="84" spans="1:19" ht="14.65" customHeight="1" x14ac:dyDescent="0.45">
      <c r="A84" s="2" t="s">
        <v>1011</v>
      </c>
      <c r="B84" s="2" t="s">
        <v>26</v>
      </c>
      <c r="C84" s="10"/>
      <c r="E84" s="15">
        <v>1</v>
      </c>
      <c r="F84" s="2" t="s">
        <v>1555</v>
      </c>
      <c r="G84" s="5" t="s">
        <v>191</v>
      </c>
      <c r="H84" s="3" t="s">
        <v>192</v>
      </c>
      <c r="I84" s="3" t="s">
        <v>193</v>
      </c>
      <c r="J84" s="2" t="s">
        <v>194</v>
      </c>
      <c r="K84" s="3" t="s">
        <v>9</v>
      </c>
      <c r="L84" s="2" t="s">
        <v>318</v>
      </c>
      <c r="M84" s="3" t="s">
        <v>11</v>
      </c>
      <c r="N84" s="2" t="s">
        <v>1262</v>
      </c>
      <c r="O84" s="2" t="s">
        <v>1204</v>
      </c>
      <c r="P84" s="2" t="s">
        <v>845</v>
      </c>
      <c r="Q84" s="3">
        <v>3</v>
      </c>
      <c r="R84" s="3" t="s">
        <v>846</v>
      </c>
      <c r="S84" s="2" t="s">
        <v>847</v>
      </c>
    </row>
    <row r="85" spans="1:19" ht="15.4" customHeight="1" x14ac:dyDescent="0.45">
      <c r="A85" s="2" t="s">
        <v>1012</v>
      </c>
      <c r="B85" s="2" t="s">
        <v>26</v>
      </c>
      <c r="C85" s="10"/>
      <c r="E85" s="15">
        <v>2</v>
      </c>
      <c r="F85" s="2" t="s">
        <v>1555</v>
      </c>
      <c r="G85" s="5" t="s">
        <v>191</v>
      </c>
      <c r="H85" s="3" t="s">
        <v>192</v>
      </c>
      <c r="I85" s="3" t="s">
        <v>73</v>
      </c>
      <c r="J85" s="3" t="s">
        <v>195</v>
      </c>
      <c r="K85" s="3" t="s">
        <v>9</v>
      </c>
      <c r="L85" s="3" t="s">
        <v>319</v>
      </c>
      <c r="M85" s="3" t="s">
        <v>11</v>
      </c>
      <c r="N85" s="2" t="s">
        <v>1263</v>
      </c>
      <c r="O85" s="2" t="s">
        <v>1204</v>
      </c>
      <c r="P85" s="2" t="s">
        <v>848</v>
      </c>
      <c r="Q85" s="3">
        <v>3</v>
      </c>
      <c r="R85" s="3" t="s">
        <v>849</v>
      </c>
      <c r="S85" s="2" t="s">
        <v>906</v>
      </c>
    </row>
    <row r="86" spans="1:19" ht="15.4" customHeight="1" x14ac:dyDescent="0.45">
      <c r="A86" s="2" t="s">
        <v>1013</v>
      </c>
      <c r="B86" s="2" t="s">
        <v>26</v>
      </c>
      <c r="C86" s="10"/>
      <c r="E86" s="15">
        <v>3</v>
      </c>
      <c r="F86" s="2" t="s">
        <v>1555</v>
      </c>
      <c r="G86" s="5" t="s">
        <v>191</v>
      </c>
      <c r="H86" s="3" t="s">
        <v>192</v>
      </c>
      <c r="I86" s="3" t="s">
        <v>196</v>
      </c>
      <c r="J86" s="3" t="s">
        <v>197</v>
      </c>
      <c r="K86" s="3" t="s">
        <v>9</v>
      </c>
      <c r="L86" s="4" t="s">
        <v>320</v>
      </c>
      <c r="M86" s="4" t="s">
        <v>11</v>
      </c>
      <c r="N86" s="2" t="s">
        <v>1264</v>
      </c>
      <c r="O86" s="2" t="s">
        <v>1204</v>
      </c>
      <c r="P86" s="2" t="s">
        <v>848</v>
      </c>
      <c r="Q86" s="3">
        <v>3</v>
      </c>
      <c r="R86" s="3" t="s">
        <v>849</v>
      </c>
      <c r="S86" s="2" t="s">
        <v>906</v>
      </c>
    </row>
    <row r="87" spans="1:19" ht="15.4" customHeight="1" x14ac:dyDescent="0.45">
      <c r="A87" s="2" t="s">
        <v>1014</v>
      </c>
      <c r="B87" s="2" t="s">
        <v>26</v>
      </c>
      <c r="C87" s="10"/>
      <c r="E87" s="15">
        <v>4</v>
      </c>
      <c r="F87" s="2" t="s">
        <v>1555</v>
      </c>
      <c r="G87" s="5" t="s">
        <v>191</v>
      </c>
      <c r="H87" s="3" t="s">
        <v>192</v>
      </c>
      <c r="I87" s="4" t="s">
        <v>198</v>
      </c>
      <c r="J87" s="4" t="s">
        <v>199</v>
      </c>
      <c r="K87" s="4" t="s">
        <v>9</v>
      </c>
      <c r="L87" s="2" t="s">
        <v>321</v>
      </c>
      <c r="M87" s="2" t="s">
        <v>11</v>
      </c>
      <c r="N87" s="2" t="s">
        <v>1265</v>
      </c>
      <c r="O87" s="2" t="s">
        <v>1204</v>
      </c>
      <c r="P87" s="2">
        <v>40</v>
      </c>
      <c r="Q87" s="3">
        <v>1</v>
      </c>
      <c r="R87" s="3" t="s">
        <v>836</v>
      </c>
      <c r="S87" s="2" t="s">
        <v>837</v>
      </c>
    </row>
    <row r="88" spans="1:19" ht="15.4" customHeight="1" x14ac:dyDescent="0.45">
      <c r="A88" s="2" t="s">
        <v>1015</v>
      </c>
      <c r="B88" s="2" t="s">
        <v>26</v>
      </c>
      <c r="C88" s="10"/>
      <c r="E88" s="15">
        <v>5</v>
      </c>
      <c r="F88" s="2" t="s">
        <v>1555</v>
      </c>
      <c r="G88" s="5" t="s">
        <v>191</v>
      </c>
      <c r="H88" s="2" t="s">
        <v>200</v>
      </c>
      <c r="I88" s="2" t="s">
        <v>201</v>
      </c>
      <c r="J88" s="2" t="s">
        <v>202</v>
      </c>
      <c r="K88" s="2" t="s">
        <v>9</v>
      </c>
      <c r="L88" s="2" t="s">
        <v>322</v>
      </c>
      <c r="M88" s="2" t="s">
        <v>11</v>
      </c>
      <c r="N88" s="2" t="s">
        <v>1266</v>
      </c>
      <c r="O88" s="2" t="s">
        <v>1204</v>
      </c>
      <c r="P88" s="2">
        <v>40</v>
      </c>
      <c r="Q88" s="3">
        <v>1</v>
      </c>
      <c r="R88" s="3" t="s">
        <v>836</v>
      </c>
      <c r="S88" s="2" t="s">
        <v>837</v>
      </c>
    </row>
    <row r="89" spans="1:19" ht="15.4" customHeight="1" x14ac:dyDescent="0.45">
      <c r="A89" s="2" t="s">
        <v>1016</v>
      </c>
      <c r="B89" s="2" t="s">
        <v>26</v>
      </c>
      <c r="C89" s="10"/>
      <c r="E89" s="15">
        <v>6</v>
      </c>
      <c r="F89" s="2" t="s">
        <v>1555</v>
      </c>
      <c r="G89" s="5" t="s">
        <v>191</v>
      </c>
      <c r="H89" s="2" t="s">
        <v>200</v>
      </c>
      <c r="I89" s="2" t="s">
        <v>203</v>
      </c>
      <c r="J89" s="2" t="s">
        <v>204</v>
      </c>
      <c r="K89" s="2" t="s">
        <v>9</v>
      </c>
      <c r="L89" s="2" t="s">
        <v>323</v>
      </c>
      <c r="M89" s="2" t="s">
        <v>11</v>
      </c>
      <c r="N89" s="2" t="s">
        <v>1267</v>
      </c>
      <c r="O89" s="2" t="s">
        <v>1204</v>
      </c>
      <c r="P89" s="2">
        <v>40</v>
      </c>
      <c r="Q89" s="3">
        <v>1</v>
      </c>
      <c r="R89" s="3" t="s">
        <v>836</v>
      </c>
      <c r="S89" s="2" t="s">
        <v>837</v>
      </c>
    </row>
    <row r="90" spans="1:19" ht="15.4" customHeight="1" x14ac:dyDescent="0.45">
      <c r="A90" s="2" t="s">
        <v>1017</v>
      </c>
      <c r="B90" s="2" t="s">
        <v>26</v>
      </c>
      <c r="C90" s="10"/>
      <c r="E90" s="15">
        <v>7</v>
      </c>
      <c r="F90" s="2" t="s">
        <v>1555</v>
      </c>
      <c r="G90" s="5" t="s">
        <v>191</v>
      </c>
      <c r="H90" s="2" t="s">
        <v>200</v>
      </c>
      <c r="I90" s="2" t="s">
        <v>205</v>
      </c>
      <c r="J90" s="2" t="s">
        <v>206</v>
      </c>
      <c r="K90" s="2" t="s">
        <v>9</v>
      </c>
      <c r="L90" s="2" t="s">
        <v>324</v>
      </c>
      <c r="M90" s="2" t="s">
        <v>11</v>
      </c>
      <c r="N90" s="2" t="s">
        <v>1268</v>
      </c>
      <c r="O90" s="2" t="s">
        <v>1204</v>
      </c>
      <c r="P90" s="2">
        <v>40</v>
      </c>
      <c r="Q90" s="3">
        <v>1</v>
      </c>
      <c r="R90" s="3" t="s">
        <v>836</v>
      </c>
      <c r="S90" s="2" t="s">
        <v>837</v>
      </c>
    </row>
    <row r="91" spans="1:19" ht="15.4" customHeight="1" x14ac:dyDescent="0.45">
      <c r="A91" s="2" t="s">
        <v>1018</v>
      </c>
      <c r="B91" s="2" t="s">
        <v>26</v>
      </c>
      <c r="C91" s="10"/>
      <c r="E91" s="15">
        <v>8</v>
      </c>
      <c r="F91" s="2" t="s">
        <v>1555</v>
      </c>
      <c r="G91" s="5" t="s">
        <v>191</v>
      </c>
      <c r="H91" s="2" t="s">
        <v>200</v>
      </c>
      <c r="I91" s="2" t="s">
        <v>207</v>
      </c>
      <c r="J91" s="2" t="s">
        <v>208</v>
      </c>
      <c r="K91" s="2" t="s">
        <v>9</v>
      </c>
      <c r="L91" s="2" t="s">
        <v>325</v>
      </c>
      <c r="M91" s="2" t="s">
        <v>11</v>
      </c>
      <c r="N91" s="2" t="s">
        <v>1269</v>
      </c>
      <c r="O91" s="2" t="s">
        <v>1204</v>
      </c>
      <c r="P91" s="2">
        <v>40</v>
      </c>
      <c r="Q91" s="3">
        <v>1</v>
      </c>
      <c r="R91" s="3" t="s">
        <v>836</v>
      </c>
      <c r="S91" s="2" t="s">
        <v>837</v>
      </c>
    </row>
    <row r="92" spans="1:19" ht="15.4" customHeight="1" x14ac:dyDescent="0.45">
      <c r="A92" s="2" t="s">
        <v>1019</v>
      </c>
      <c r="B92" s="2" t="s">
        <v>26</v>
      </c>
      <c r="C92" s="10"/>
      <c r="E92" s="15">
        <v>9</v>
      </c>
      <c r="F92" s="2" t="s">
        <v>1555</v>
      </c>
      <c r="G92" s="5" t="s">
        <v>191</v>
      </c>
      <c r="H92" s="2" t="s">
        <v>200</v>
      </c>
      <c r="I92" s="2" t="s">
        <v>209</v>
      </c>
      <c r="J92" s="2" t="s">
        <v>210</v>
      </c>
      <c r="K92" s="2" t="s">
        <v>9</v>
      </c>
      <c r="L92" s="2" t="s">
        <v>326</v>
      </c>
      <c r="M92" s="2" t="s">
        <v>11</v>
      </c>
      <c r="N92" s="2" t="s">
        <v>1270</v>
      </c>
      <c r="O92" s="2" t="s">
        <v>1204</v>
      </c>
      <c r="P92" s="2">
        <v>40</v>
      </c>
      <c r="Q92" s="3">
        <v>1</v>
      </c>
      <c r="R92" s="3" t="s">
        <v>836</v>
      </c>
      <c r="S92" s="2" t="s">
        <v>837</v>
      </c>
    </row>
    <row r="93" spans="1:19" ht="15.4" customHeight="1" x14ac:dyDescent="0.45">
      <c r="A93" s="2" t="s">
        <v>1020</v>
      </c>
      <c r="B93" s="2" t="s">
        <v>26</v>
      </c>
      <c r="C93" s="10"/>
      <c r="E93" s="15">
        <v>10</v>
      </c>
      <c r="F93" s="2" t="s">
        <v>1555</v>
      </c>
      <c r="G93" s="5" t="s">
        <v>191</v>
      </c>
      <c r="H93" s="2" t="s">
        <v>200</v>
      </c>
      <c r="I93" s="2" t="s">
        <v>211</v>
      </c>
      <c r="J93" s="2" t="s">
        <v>212</v>
      </c>
      <c r="K93" s="2" t="s">
        <v>9</v>
      </c>
      <c r="L93" s="2" t="s">
        <v>327</v>
      </c>
      <c r="M93" s="2" t="s">
        <v>11</v>
      </c>
      <c r="N93" s="2" t="s">
        <v>1271</v>
      </c>
      <c r="O93" s="2" t="s">
        <v>1204</v>
      </c>
      <c r="P93" s="2" t="s">
        <v>830</v>
      </c>
    </row>
    <row r="94" spans="1:19" ht="15.4" customHeight="1" x14ac:dyDescent="0.45">
      <c r="A94" s="2" t="s">
        <v>1021</v>
      </c>
      <c r="B94" s="2" t="s">
        <v>26</v>
      </c>
      <c r="C94" s="10"/>
      <c r="E94" s="15">
        <v>11</v>
      </c>
      <c r="F94" s="2" t="s">
        <v>1555</v>
      </c>
      <c r="G94" s="5" t="s">
        <v>191</v>
      </c>
      <c r="H94" s="2" t="s">
        <v>200</v>
      </c>
      <c r="I94" s="2" t="s">
        <v>213</v>
      </c>
      <c r="J94" s="2" t="s">
        <v>214</v>
      </c>
      <c r="K94" s="2" t="s">
        <v>9</v>
      </c>
      <c r="L94" s="2" t="s">
        <v>328</v>
      </c>
      <c r="M94" s="2" t="s">
        <v>11</v>
      </c>
      <c r="N94" s="2" t="s">
        <v>1272</v>
      </c>
      <c r="O94" s="2" t="s">
        <v>1204</v>
      </c>
      <c r="P94" s="2">
        <v>40</v>
      </c>
      <c r="Q94" s="3">
        <v>1</v>
      </c>
      <c r="R94" s="3" t="s">
        <v>836</v>
      </c>
      <c r="S94" s="2" t="s">
        <v>837</v>
      </c>
    </row>
    <row r="95" spans="1:19" ht="15.4" customHeight="1" x14ac:dyDescent="0.45">
      <c r="A95" s="2" t="s">
        <v>1022</v>
      </c>
      <c r="B95" s="2" t="s">
        <v>26</v>
      </c>
      <c r="C95" s="10"/>
      <c r="E95" s="15">
        <v>12</v>
      </c>
      <c r="F95" s="2" t="s">
        <v>1555</v>
      </c>
      <c r="G95" s="5" t="s">
        <v>191</v>
      </c>
      <c r="H95" s="2" t="s">
        <v>200</v>
      </c>
      <c r="I95" s="2" t="s">
        <v>215</v>
      </c>
      <c r="J95" s="2" t="s">
        <v>216</v>
      </c>
      <c r="K95" s="2" t="s">
        <v>9</v>
      </c>
      <c r="L95" s="2" t="s">
        <v>329</v>
      </c>
      <c r="M95" s="2" t="s">
        <v>11</v>
      </c>
      <c r="N95" s="2" t="s">
        <v>1273</v>
      </c>
      <c r="O95" s="2" t="s">
        <v>1204</v>
      </c>
      <c r="P95" s="2">
        <v>40</v>
      </c>
      <c r="Q95" s="3">
        <v>1</v>
      </c>
      <c r="R95" s="3" t="s">
        <v>836</v>
      </c>
      <c r="S95" s="2" t="s">
        <v>837</v>
      </c>
    </row>
    <row r="96" spans="1:19" ht="15.4" customHeight="1" x14ac:dyDescent="0.45">
      <c r="A96" s="2" t="s">
        <v>1023</v>
      </c>
      <c r="B96" s="2" t="s">
        <v>26</v>
      </c>
      <c r="C96" s="10"/>
      <c r="E96" s="15">
        <v>13</v>
      </c>
      <c r="F96" s="2" t="s">
        <v>1555</v>
      </c>
      <c r="G96" s="5" t="s">
        <v>191</v>
      </c>
      <c r="H96" s="2" t="s">
        <v>217</v>
      </c>
      <c r="I96" s="2" t="s">
        <v>218</v>
      </c>
      <c r="J96" s="2" t="s">
        <v>219</v>
      </c>
      <c r="K96" s="2" t="s">
        <v>9</v>
      </c>
      <c r="L96" s="2" t="s">
        <v>330</v>
      </c>
      <c r="M96" s="2" t="s">
        <v>11</v>
      </c>
      <c r="N96" s="2" t="s">
        <v>1274</v>
      </c>
      <c r="O96" s="2" t="s">
        <v>1204</v>
      </c>
      <c r="P96" s="2">
        <v>40</v>
      </c>
      <c r="Q96" s="3">
        <v>1</v>
      </c>
      <c r="R96" s="3" t="s">
        <v>836</v>
      </c>
      <c r="S96" s="2" t="s">
        <v>837</v>
      </c>
    </row>
    <row r="97" spans="1:19" ht="15.4" customHeight="1" x14ac:dyDescent="0.45">
      <c r="A97" s="2" t="s">
        <v>1024</v>
      </c>
      <c r="B97" s="2" t="s">
        <v>26</v>
      </c>
      <c r="C97" s="10"/>
      <c r="E97" s="15">
        <v>14</v>
      </c>
      <c r="F97" s="2" t="s">
        <v>1555</v>
      </c>
      <c r="G97" s="5" t="s">
        <v>191</v>
      </c>
      <c r="H97" s="2" t="s">
        <v>217</v>
      </c>
      <c r="I97" s="2" t="s">
        <v>220</v>
      </c>
      <c r="J97" s="2" t="s">
        <v>221</v>
      </c>
      <c r="K97" s="2" t="s">
        <v>9</v>
      </c>
      <c r="L97" s="2" t="s">
        <v>331</v>
      </c>
      <c r="M97" s="2" t="s">
        <v>11</v>
      </c>
      <c r="N97" s="2" t="s">
        <v>1275</v>
      </c>
      <c r="O97" s="2" t="s">
        <v>1204</v>
      </c>
      <c r="P97" s="2" t="s">
        <v>828</v>
      </c>
    </row>
    <row r="98" spans="1:19" ht="15.4" customHeight="1" x14ac:dyDescent="0.45">
      <c r="A98" s="2" t="s">
        <v>1025</v>
      </c>
      <c r="B98" s="2" t="s">
        <v>26</v>
      </c>
      <c r="C98" s="10"/>
      <c r="E98" s="15">
        <v>15</v>
      </c>
      <c r="F98" s="2" t="s">
        <v>1555</v>
      </c>
      <c r="G98" s="5" t="s">
        <v>191</v>
      </c>
      <c r="H98" s="2" t="s">
        <v>217</v>
      </c>
      <c r="I98" s="2" t="s">
        <v>100</v>
      </c>
      <c r="J98" s="2" t="s">
        <v>222</v>
      </c>
      <c r="K98" s="2" t="s">
        <v>9</v>
      </c>
      <c r="L98" s="2" t="s">
        <v>332</v>
      </c>
      <c r="M98" s="2" t="s">
        <v>11</v>
      </c>
      <c r="N98" s="2" t="s">
        <v>1276</v>
      </c>
      <c r="O98" s="2" t="s">
        <v>1204</v>
      </c>
      <c r="P98" s="2">
        <v>40</v>
      </c>
      <c r="Q98" s="3">
        <v>1</v>
      </c>
      <c r="R98" s="3" t="s">
        <v>836</v>
      </c>
      <c r="S98" s="2" t="s">
        <v>837</v>
      </c>
    </row>
    <row r="99" spans="1:19" ht="15.4" customHeight="1" x14ac:dyDescent="0.45">
      <c r="A99" s="2" t="s">
        <v>1026</v>
      </c>
      <c r="B99" s="2" t="s">
        <v>26</v>
      </c>
      <c r="C99" s="10"/>
      <c r="E99" s="15">
        <v>16</v>
      </c>
      <c r="F99" s="2" t="s">
        <v>1555</v>
      </c>
      <c r="G99" s="5" t="s">
        <v>191</v>
      </c>
      <c r="H99" s="2" t="s">
        <v>217</v>
      </c>
      <c r="I99" s="2" t="s">
        <v>223</v>
      </c>
      <c r="J99" s="2" t="s">
        <v>224</v>
      </c>
      <c r="K99" s="2" t="s">
        <v>9</v>
      </c>
      <c r="L99" s="2" t="s">
        <v>333</v>
      </c>
      <c r="M99" s="2" t="s">
        <v>11</v>
      </c>
      <c r="N99" s="2" t="s">
        <v>1277</v>
      </c>
      <c r="O99" s="2" t="s">
        <v>1204</v>
      </c>
      <c r="P99" s="2">
        <v>40</v>
      </c>
      <c r="Q99" s="3">
        <v>1</v>
      </c>
      <c r="R99" s="3" t="s">
        <v>836</v>
      </c>
      <c r="S99" s="2" t="s">
        <v>837</v>
      </c>
    </row>
    <row r="100" spans="1:19" ht="15.4" customHeight="1" x14ac:dyDescent="0.45">
      <c r="A100" s="2" t="s">
        <v>1027</v>
      </c>
      <c r="B100" s="2" t="s">
        <v>26</v>
      </c>
      <c r="C100" s="10"/>
      <c r="E100" s="15">
        <v>17</v>
      </c>
      <c r="F100" s="2" t="s">
        <v>1555</v>
      </c>
      <c r="G100" s="5" t="s">
        <v>191</v>
      </c>
      <c r="H100" s="2" t="s">
        <v>217</v>
      </c>
      <c r="I100" s="2" t="s">
        <v>225</v>
      </c>
      <c r="J100" s="2" t="s">
        <v>226</v>
      </c>
      <c r="K100" s="2" t="s">
        <v>9</v>
      </c>
      <c r="L100" s="2" t="s">
        <v>334</v>
      </c>
      <c r="M100" s="2" t="s">
        <v>11</v>
      </c>
      <c r="N100" s="2" t="s">
        <v>1278</v>
      </c>
      <c r="O100" s="2" t="s">
        <v>1204</v>
      </c>
      <c r="P100" s="2">
        <v>40</v>
      </c>
      <c r="Q100" s="3">
        <v>1</v>
      </c>
      <c r="R100" s="3" t="s">
        <v>836</v>
      </c>
      <c r="S100" s="2" t="s">
        <v>837</v>
      </c>
    </row>
    <row r="101" spans="1:19" ht="15.4" customHeight="1" x14ac:dyDescent="0.45">
      <c r="A101" s="2" t="s">
        <v>1028</v>
      </c>
      <c r="B101" s="2" t="s">
        <v>26</v>
      </c>
      <c r="C101" s="10"/>
      <c r="E101" s="15">
        <v>18</v>
      </c>
      <c r="F101" s="2" t="s">
        <v>1555</v>
      </c>
      <c r="G101" s="5" t="s">
        <v>191</v>
      </c>
      <c r="H101" s="2" t="s">
        <v>217</v>
      </c>
      <c r="I101" s="2" t="s">
        <v>227</v>
      </c>
      <c r="J101" s="2" t="s">
        <v>228</v>
      </c>
      <c r="K101" s="2" t="s">
        <v>9</v>
      </c>
      <c r="L101" s="2" t="s">
        <v>335</v>
      </c>
      <c r="M101" s="2" t="s">
        <v>11</v>
      </c>
      <c r="N101" s="2" t="s">
        <v>1279</v>
      </c>
      <c r="O101" s="2" t="s">
        <v>1204</v>
      </c>
      <c r="P101" s="2">
        <v>40</v>
      </c>
      <c r="Q101" s="3">
        <v>1</v>
      </c>
      <c r="R101" s="3" t="s">
        <v>836</v>
      </c>
      <c r="S101" s="2" t="s">
        <v>837</v>
      </c>
    </row>
    <row r="102" spans="1:19" ht="15.4" customHeight="1" x14ac:dyDescent="0.45">
      <c r="A102" s="2" t="s">
        <v>1029</v>
      </c>
      <c r="B102" s="2" t="s">
        <v>26</v>
      </c>
      <c r="C102" s="10"/>
      <c r="E102" s="15">
        <v>19</v>
      </c>
      <c r="F102" s="2" t="s">
        <v>1555</v>
      </c>
      <c r="G102" s="5" t="s">
        <v>191</v>
      </c>
      <c r="H102" s="2" t="s">
        <v>217</v>
      </c>
      <c r="I102" s="2" t="s">
        <v>229</v>
      </c>
      <c r="J102" s="2" t="s">
        <v>230</v>
      </c>
      <c r="K102" s="2" t="s">
        <v>9</v>
      </c>
      <c r="L102" s="2" t="s">
        <v>336</v>
      </c>
      <c r="M102" s="2" t="s">
        <v>11</v>
      </c>
      <c r="N102" s="2" t="s">
        <v>1280</v>
      </c>
      <c r="O102" s="2" t="s">
        <v>1204</v>
      </c>
      <c r="P102" s="2">
        <v>40</v>
      </c>
      <c r="Q102" s="3">
        <v>1</v>
      </c>
      <c r="R102" s="3" t="s">
        <v>836</v>
      </c>
      <c r="S102" s="2" t="s">
        <v>837</v>
      </c>
    </row>
    <row r="103" spans="1:19" ht="15.4" customHeight="1" x14ac:dyDescent="0.45">
      <c r="A103" s="2" t="s">
        <v>1030</v>
      </c>
      <c r="B103" s="2" t="s">
        <v>26</v>
      </c>
      <c r="C103" s="10"/>
      <c r="E103" s="15">
        <v>20</v>
      </c>
      <c r="F103" s="2" t="s">
        <v>1555</v>
      </c>
      <c r="G103" s="5" t="s">
        <v>191</v>
      </c>
      <c r="H103" s="2" t="s">
        <v>217</v>
      </c>
      <c r="I103" s="2" t="s">
        <v>231</v>
      </c>
      <c r="J103" s="2" t="s">
        <v>232</v>
      </c>
      <c r="K103" s="2" t="s">
        <v>9</v>
      </c>
      <c r="L103" s="2" t="s">
        <v>337</v>
      </c>
      <c r="M103" s="2" t="s">
        <v>11</v>
      </c>
      <c r="N103" s="2" t="s">
        <v>1281</v>
      </c>
      <c r="O103" s="2" t="s">
        <v>1204</v>
      </c>
      <c r="P103" s="2">
        <v>40</v>
      </c>
      <c r="Q103" s="3">
        <v>1</v>
      </c>
      <c r="R103" s="3" t="s">
        <v>836</v>
      </c>
      <c r="S103" s="2" t="s">
        <v>837</v>
      </c>
    </row>
    <row r="104" spans="1:19" ht="15.4" customHeight="1" x14ac:dyDescent="0.45">
      <c r="A104" s="2" t="s">
        <v>1031</v>
      </c>
      <c r="B104" s="2" t="s">
        <v>26</v>
      </c>
      <c r="C104" s="10"/>
      <c r="E104" s="15">
        <v>21</v>
      </c>
      <c r="F104" s="2" t="s">
        <v>1555</v>
      </c>
      <c r="G104" s="5" t="s">
        <v>191</v>
      </c>
      <c r="H104" s="2" t="s">
        <v>217</v>
      </c>
      <c r="I104" s="2" t="s">
        <v>233</v>
      </c>
      <c r="J104" s="2" t="s">
        <v>234</v>
      </c>
      <c r="K104" s="2" t="s">
        <v>9</v>
      </c>
      <c r="L104" s="2" t="s">
        <v>338</v>
      </c>
      <c r="M104" s="2" t="s">
        <v>11</v>
      </c>
      <c r="N104" s="2" t="s">
        <v>1282</v>
      </c>
      <c r="O104" s="2" t="s">
        <v>1204</v>
      </c>
      <c r="P104" s="2">
        <v>40</v>
      </c>
      <c r="Q104" s="3">
        <v>1</v>
      </c>
      <c r="R104" s="3" t="s">
        <v>836</v>
      </c>
      <c r="S104" s="2" t="s">
        <v>837</v>
      </c>
    </row>
    <row r="105" spans="1:19" ht="15.4" customHeight="1" x14ac:dyDescent="0.45">
      <c r="A105" s="2" t="s">
        <v>1032</v>
      </c>
      <c r="B105" s="2" t="s">
        <v>26</v>
      </c>
      <c r="C105" s="10"/>
      <c r="E105" s="15">
        <v>22</v>
      </c>
      <c r="F105" s="2" t="s">
        <v>1555</v>
      </c>
      <c r="G105" s="5" t="s">
        <v>191</v>
      </c>
      <c r="H105" s="2" t="s">
        <v>235</v>
      </c>
      <c r="I105" s="2" t="s">
        <v>220</v>
      </c>
      <c r="J105" s="2" t="s">
        <v>236</v>
      </c>
      <c r="K105" s="2" t="s">
        <v>9</v>
      </c>
      <c r="L105" s="2" t="s">
        <v>339</v>
      </c>
      <c r="M105" s="2" t="s">
        <v>11</v>
      </c>
      <c r="N105" s="2" t="s">
        <v>1283</v>
      </c>
      <c r="O105" s="2" t="s">
        <v>1204</v>
      </c>
      <c r="P105" s="2">
        <v>40</v>
      </c>
      <c r="Q105" s="3">
        <v>1</v>
      </c>
      <c r="R105" s="3" t="s">
        <v>850</v>
      </c>
      <c r="S105" s="2" t="s">
        <v>840</v>
      </c>
    </row>
    <row r="106" spans="1:19" ht="15.4" customHeight="1" x14ac:dyDescent="0.45">
      <c r="A106" s="2" t="s">
        <v>1033</v>
      </c>
      <c r="B106" s="2" t="s">
        <v>26</v>
      </c>
      <c r="C106" s="10"/>
      <c r="E106" s="15">
        <v>23</v>
      </c>
      <c r="F106" s="2" t="s">
        <v>1555</v>
      </c>
      <c r="G106" s="5" t="s">
        <v>191</v>
      </c>
      <c r="H106" s="2" t="s">
        <v>235</v>
      </c>
      <c r="I106" s="2" t="s">
        <v>100</v>
      </c>
      <c r="J106" s="2" t="s">
        <v>237</v>
      </c>
      <c r="K106" s="2" t="s">
        <v>9</v>
      </c>
      <c r="L106" s="2" t="s">
        <v>340</v>
      </c>
      <c r="M106" s="2" t="s">
        <v>11</v>
      </c>
      <c r="N106" s="2" t="s">
        <v>1284</v>
      </c>
      <c r="O106" s="2" t="s">
        <v>1204</v>
      </c>
      <c r="P106" s="2">
        <v>40</v>
      </c>
      <c r="Q106" s="3">
        <v>1</v>
      </c>
      <c r="R106" s="3" t="s">
        <v>836</v>
      </c>
      <c r="S106" s="2" t="s">
        <v>837</v>
      </c>
    </row>
    <row r="107" spans="1:19" ht="15.4" customHeight="1" x14ac:dyDescent="0.45">
      <c r="A107" s="2" t="s">
        <v>1034</v>
      </c>
      <c r="B107" s="2" t="s">
        <v>26</v>
      </c>
      <c r="C107" s="10"/>
      <c r="E107" s="15">
        <v>24</v>
      </c>
      <c r="F107" s="2" t="s">
        <v>1555</v>
      </c>
      <c r="G107" s="5" t="s">
        <v>191</v>
      </c>
      <c r="H107" s="2" t="s">
        <v>235</v>
      </c>
      <c r="I107" s="2" t="s">
        <v>231</v>
      </c>
      <c r="J107" s="7" t="s">
        <v>315</v>
      </c>
      <c r="K107" s="2" t="s">
        <v>9</v>
      </c>
      <c r="N107" s="2" t="s">
        <v>1285</v>
      </c>
      <c r="O107" s="2" t="s">
        <v>1204</v>
      </c>
    </row>
    <row r="108" spans="1:19" ht="15.4" customHeight="1" x14ac:dyDescent="0.45">
      <c r="A108" s="2" t="s">
        <v>1035</v>
      </c>
      <c r="B108" s="2" t="s">
        <v>26</v>
      </c>
      <c r="C108" s="10"/>
      <c r="E108" s="15">
        <v>25</v>
      </c>
      <c r="F108" s="2" t="s">
        <v>1555</v>
      </c>
      <c r="G108" s="5" t="s">
        <v>191</v>
      </c>
      <c r="H108" s="2" t="s">
        <v>235</v>
      </c>
      <c r="I108" s="2" t="s">
        <v>233</v>
      </c>
      <c r="J108" s="2" t="s">
        <v>238</v>
      </c>
      <c r="K108" s="2" t="s">
        <v>9</v>
      </c>
      <c r="L108" s="2" t="s">
        <v>341</v>
      </c>
      <c r="M108" s="2" t="s">
        <v>11</v>
      </c>
      <c r="N108" s="2" t="s">
        <v>1286</v>
      </c>
      <c r="O108" s="2" t="s">
        <v>1204</v>
      </c>
      <c r="P108" s="2">
        <v>40</v>
      </c>
      <c r="Q108" s="3">
        <v>1</v>
      </c>
      <c r="R108" s="3" t="s">
        <v>836</v>
      </c>
      <c r="S108" s="2" t="s">
        <v>837</v>
      </c>
    </row>
    <row r="109" spans="1:19" ht="15.4" customHeight="1" x14ac:dyDescent="0.45">
      <c r="A109" s="2" t="s">
        <v>1036</v>
      </c>
      <c r="B109" s="2" t="s">
        <v>26</v>
      </c>
      <c r="C109" s="10"/>
      <c r="E109" s="15">
        <v>26</v>
      </c>
      <c r="F109" s="2" t="s">
        <v>1555</v>
      </c>
      <c r="G109" s="5" t="s">
        <v>191</v>
      </c>
      <c r="H109" s="2" t="s">
        <v>239</v>
      </c>
      <c r="I109" s="2" t="s">
        <v>342</v>
      </c>
      <c r="J109" s="2" t="s">
        <v>240</v>
      </c>
      <c r="K109" s="2" t="s">
        <v>9</v>
      </c>
      <c r="L109" s="2" t="s">
        <v>343</v>
      </c>
      <c r="M109" s="2" t="s">
        <v>11</v>
      </c>
      <c r="N109" s="2" t="s">
        <v>1287</v>
      </c>
      <c r="O109" s="2" t="s">
        <v>1204</v>
      </c>
      <c r="P109" s="2">
        <v>40</v>
      </c>
      <c r="Q109" s="3">
        <v>1</v>
      </c>
      <c r="R109" s="3" t="s">
        <v>850</v>
      </c>
      <c r="S109" s="2" t="s">
        <v>840</v>
      </c>
    </row>
    <row r="110" spans="1:19" ht="15.4" customHeight="1" x14ac:dyDescent="0.45">
      <c r="A110" s="2" t="s">
        <v>1037</v>
      </c>
      <c r="B110" s="2" t="s">
        <v>26</v>
      </c>
      <c r="C110" s="10"/>
      <c r="E110" s="15">
        <v>27</v>
      </c>
      <c r="F110" s="2" t="s">
        <v>1555</v>
      </c>
      <c r="G110" s="5" t="s">
        <v>191</v>
      </c>
      <c r="H110" s="2" t="s">
        <v>239</v>
      </c>
      <c r="I110" s="2" t="s">
        <v>100</v>
      </c>
      <c r="J110" s="2" t="s">
        <v>241</v>
      </c>
      <c r="K110" s="2" t="s">
        <v>9</v>
      </c>
      <c r="L110" s="2" t="s">
        <v>344</v>
      </c>
      <c r="M110" s="2" t="s">
        <v>11</v>
      </c>
      <c r="N110" s="2" t="s">
        <v>1288</v>
      </c>
      <c r="O110" s="2" t="s">
        <v>1204</v>
      </c>
      <c r="P110" s="2">
        <v>40</v>
      </c>
      <c r="Q110" s="3">
        <v>1</v>
      </c>
      <c r="R110" s="3" t="s">
        <v>836</v>
      </c>
      <c r="S110" s="2" t="s">
        <v>837</v>
      </c>
    </row>
    <row r="111" spans="1:19" ht="15.4" customHeight="1" x14ac:dyDescent="0.45">
      <c r="A111" s="2" t="s">
        <v>1038</v>
      </c>
      <c r="B111" s="2" t="s">
        <v>26</v>
      </c>
      <c r="C111" s="10"/>
      <c r="E111" s="15">
        <v>28</v>
      </c>
      <c r="F111" s="2" t="s">
        <v>1555</v>
      </c>
      <c r="G111" s="5" t="s">
        <v>191</v>
      </c>
      <c r="H111" s="2" t="s">
        <v>239</v>
      </c>
      <c r="I111" s="2" t="s">
        <v>231</v>
      </c>
      <c r="J111" s="7" t="s">
        <v>316</v>
      </c>
      <c r="K111" s="2" t="s">
        <v>9</v>
      </c>
      <c r="L111" s="3"/>
      <c r="M111" s="3"/>
      <c r="N111" s="2" t="s">
        <v>1289</v>
      </c>
      <c r="O111" s="2" t="s">
        <v>1204</v>
      </c>
    </row>
    <row r="112" spans="1:19" ht="15.4" customHeight="1" x14ac:dyDescent="0.45">
      <c r="A112" s="2" t="s">
        <v>1039</v>
      </c>
      <c r="B112" s="2" t="s">
        <v>26</v>
      </c>
      <c r="C112" s="10"/>
      <c r="E112" s="15">
        <v>29</v>
      </c>
      <c r="F112" s="2" t="s">
        <v>1555</v>
      </c>
      <c r="G112" s="5" t="s">
        <v>191</v>
      </c>
      <c r="H112" s="2" t="s">
        <v>239</v>
      </c>
      <c r="I112" s="2" t="s">
        <v>242</v>
      </c>
      <c r="J112" s="2" t="s">
        <v>243</v>
      </c>
      <c r="K112" s="2" t="s">
        <v>9</v>
      </c>
      <c r="L112" s="2" t="s">
        <v>345</v>
      </c>
      <c r="M112" s="2" t="s">
        <v>11</v>
      </c>
      <c r="N112" s="2" t="s">
        <v>1290</v>
      </c>
      <c r="O112" s="2" t="s">
        <v>1204</v>
      </c>
    </row>
    <row r="113" spans="1:19" ht="15.4" customHeight="1" x14ac:dyDescent="0.45">
      <c r="A113" s="2" t="s">
        <v>1040</v>
      </c>
      <c r="B113" s="2" t="s">
        <v>26</v>
      </c>
      <c r="C113" s="10"/>
      <c r="E113" s="15">
        <v>30</v>
      </c>
      <c r="F113" s="2" t="s">
        <v>1555</v>
      </c>
      <c r="G113" s="5" t="s">
        <v>191</v>
      </c>
      <c r="H113" s="2" t="s">
        <v>239</v>
      </c>
      <c r="I113" s="2" t="s">
        <v>244</v>
      </c>
      <c r="J113" s="2" t="s">
        <v>245</v>
      </c>
      <c r="K113" s="2" t="s">
        <v>9</v>
      </c>
      <c r="L113" s="2" t="s">
        <v>384</v>
      </c>
      <c r="M113" s="2" t="s">
        <v>11</v>
      </c>
      <c r="N113" s="2" t="s">
        <v>1291</v>
      </c>
      <c r="O113" s="2" t="s">
        <v>1204</v>
      </c>
    </row>
    <row r="114" spans="1:19" ht="15.4" customHeight="1" x14ac:dyDescent="0.45">
      <c r="A114" s="2" t="s">
        <v>1041</v>
      </c>
      <c r="B114" s="2" t="s">
        <v>26</v>
      </c>
      <c r="C114" s="10"/>
      <c r="E114" s="15">
        <v>31</v>
      </c>
      <c r="F114" s="2" t="s">
        <v>1555</v>
      </c>
      <c r="G114" s="5" t="s">
        <v>191</v>
      </c>
      <c r="H114" s="2" t="s">
        <v>246</v>
      </c>
      <c r="I114" s="2" t="s">
        <v>220</v>
      </c>
      <c r="J114" s="2" t="s">
        <v>247</v>
      </c>
      <c r="K114" s="2" t="s">
        <v>9</v>
      </c>
      <c r="L114" s="2" t="s">
        <v>346</v>
      </c>
      <c r="M114" s="2" t="s">
        <v>11</v>
      </c>
      <c r="N114" s="2" t="s">
        <v>1292</v>
      </c>
      <c r="O114" s="2" t="s">
        <v>1204</v>
      </c>
      <c r="P114" s="2">
        <v>40</v>
      </c>
      <c r="Q114" s="3">
        <v>1</v>
      </c>
      <c r="R114" s="3" t="s">
        <v>851</v>
      </c>
      <c r="S114" s="2" t="s">
        <v>840</v>
      </c>
    </row>
    <row r="115" spans="1:19" ht="15.4" customHeight="1" x14ac:dyDescent="0.45">
      <c r="A115" s="2" t="s">
        <v>1042</v>
      </c>
      <c r="B115" s="2" t="s">
        <v>26</v>
      </c>
      <c r="C115" s="10"/>
      <c r="E115" s="15">
        <v>32</v>
      </c>
      <c r="F115" s="2" t="s">
        <v>1555</v>
      </c>
      <c r="G115" s="5" t="s">
        <v>191</v>
      </c>
      <c r="H115" s="2" t="s">
        <v>246</v>
      </c>
      <c r="I115" s="2" t="s">
        <v>100</v>
      </c>
      <c r="J115" s="2" t="s">
        <v>248</v>
      </c>
      <c r="K115" s="2" t="s">
        <v>9</v>
      </c>
      <c r="L115" s="2" t="s">
        <v>347</v>
      </c>
      <c r="M115" s="2" t="s">
        <v>11</v>
      </c>
      <c r="N115" s="2" t="s">
        <v>1293</v>
      </c>
      <c r="O115" s="2" t="s">
        <v>1204</v>
      </c>
      <c r="P115" s="2">
        <v>40</v>
      </c>
      <c r="Q115" s="3">
        <v>1</v>
      </c>
      <c r="R115" s="3" t="s">
        <v>836</v>
      </c>
      <c r="S115" s="2" t="s">
        <v>837</v>
      </c>
    </row>
    <row r="116" spans="1:19" ht="15.4" customHeight="1" x14ac:dyDescent="0.45">
      <c r="A116" s="2" t="s">
        <v>1043</v>
      </c>
      <c r="B116" s="2" t="s">
        <v>26</v>
      </c>
      <c r="C116" s="10"/>
      <c r="E116" s="15">
        <v>33</v>
      </c>
      <c r="F116" s="2" t="s">
        <v>1555</v>
      </c>
      <c r="G116" s="5" t="s">
        <v>191</v>
      </c>
      <c r="H116" s="2" t="s">
        <v>246</v>
      </c>
      <c r="I116" s="2" t="s">
        <v>249</v>
      </c>
      <c r="J116" s="2" t="s">
        <v>250</v>
      </c>
      <c r="K116" s="2" t="s">
        <v>9</v>
      </c>
      <c r="L116" s="2" t="s">
        <v>348</v>
      </c>
      <c r="M116" s="2" t="s">
        <v>11</v>
      </c>
      <c r="N116" s="2" t="s">
        <v>1294</v>
      </c>
      <c r="O116" s="2" t="s">
        <v>1204</v>
      </c>
      <c r="P116" s="2" t="s">
        <v>827</v>
      </c>
    </row>
    <row r="117" spans="1:19" ht="15.4" customHeight="1" x14ac:dyDescent="0.45">
      <c r="A117" s="2" t="s">
        <v>1044</v>
      </c>
      <c r="B117" s="2" t="s">
        <v>26</v>
      </c>
      <c r="C117" s="10"/>
      <c r="E117" s="15">
        <v>34</v>
      </c>
      <c r="F117" s="2" t="s">
        <v>1555</v>
      </c>
      <c r="G117" s="5" t="s">
        <v>191</v>
      </c>
      <c r="H117" s="2" t="s">
        <v>251</v>
      </c>
      <c r="I117" s="2" t="s">
        <v>220</v>
      </c>
      <c r="J117" s="2" t="s">
        <v>252</v>
      </c>
      <c r="K117" s="2" t="s">
        <v>9</v>
      </c>
      <c r="L117" s="2" t="s">
        <v>349</v>
      </c>
      <c r="M117" s="2" t="s">
        <v>11</v>
      </c>
      <c r="N117" s="2" t="s">
        <v>1295</v>
      </c>
      <c r="O117" s="2" t="s">
        <v>1204</v>
      </c>
      <c r="P117" s="2">
        <v>40</v>
      </c>
      <c r="Q117" s="3">
        <v>1</v>
      </c>
      <c r="R117" s="3" t="s">
        <v>838</v>
      </c>
      <c r="S117" s="2" t="s">
        <v>840</v>
      </c>
    </row>
    <row r="118" spans="1:19" ht="15.4" customHeight="1" x14ac:dyDescent="0.45">
      <c r="A118" s="2" t="s">
        <v>1045</v>
      </c>
      <c r="B118" s="2" t="s">
        <v>26</v>
      </c>
      <c r="C118" s="10"/>
      <c r="E118" s="15">
        <v>35</v>
      </c>
      <c r="F118" s="2" t="s">
        <v>1555</v>
      </c>
      <c r="G118" s="5" t="s">
        <v>191</v>
      </c>
      <c r="H118" s="2" t="s">
        <v>251</v>
      </c>
      <c r="I118" s="2" t="s">
        <v>100</v>
      </c>
      <c r="J118" s="2" t="s">
        <v>253</v>
      </c>
      <c r="K118" s="2" t="s">
        <v>9</v>
      </c>
      <c r="L118" s="2" t="s">
        <v>350</v>
      </c>
      <c r="M118" s="2" t="s">
        <v>11</v>
      </c>
      <c r="N118" s="2" t="s">
        <v>1296</v>
      </c>
      <c r="O118" s="2" t="s">
        <v>1204</v>
      </c>
      <c r="P118" s="2">
        <v>40</v>
      </c>
      <c r="Q118" s="3">
        <v>1</v>
      </c>
      <c r="R118" s="3" t="s">
        <v>836</v>
      </c>
      <c r="S118" s="2" t="s">
        <v>837</v>
      </c>
    </row>
    <row r="119" spans="1:19" ht="15.4" customHeight="1" x14ac:dyDescent="0.45">
      <c r="A119" s="2" t="s">
        <v>1046</v>
      </c>
      <c r="B119" s="2" t="s">
        <v>26</v>
      </c>
      <c r="C119" s="10"/>
      <c r="E119" s="15">
        <v>36</v>
      </c>
      <c r="F119" s="2" t="s">
        <v>1555</v>
      </c>
      <c r="G119" s="5" t="s">
        <v>191</v>
      </c>
      <c r="H119" s="2" t="s">
        <v>251</v>
      </c>
      <c r="I119" s="2" t="s">
        <v>254</v>
      </c>
      <c r="J119" s="2" t="s">
        <v>255</v>
      </c>
      <c r="K119" s="2" t="s">
        <v>9</v>
      </c>
      <c r="L119" s="2" t="s">
        <v>351</v>
      </c>
      <c r="M119" s="2" t="s">
        <v>11</v>
      </c>
      <c r="N119" s="2" t="s">
        <v>1297</v>
      </c>
      <c r="O119" s="2" t="s">
        <v>1204</v>
      </c>
      <c r="P119" s="2" t="s">
        <v>827</v>
      </c>
    </row>
    <row r="120" spans="1:19" ht="15.4" customHeight="1" x14ac:dyDescent="0.45">
      <c r="A120" s="2" t="s">
        <v>1047</v>
      </c>
      <c r="B120" s="2" t="s">
        <v>26</v>
      </c>
      <c r="C120" s="10"/>
      <c r="E120" s="15">
        <v>37</v>
      </c>
      <c r="F120" s="2" t="s">
        <v>1555</v>
      </c>
      <c r="G120" s="5" t="s">
        <v>191</v>
      </c>
      <c r="H120" s="2" t="s">
        <v>251</v>
      </c>
      <c r="I120" s="2" t="s">
        <v>233</v>
      </c>
      <c r="J120" s="2" t="s">
        <v>256</v>
      </c>
      <c r="K120" s="2" t="s">
        <v>9</v>
      </c>
      <c r="L120" s="2" t="s">
        <v>352</v>
      </c>
      <c r="M120" s="2" t="s">
        <v>11</v>
      </c>
      <c r="N120" s="2" t="s">
        <v>1298</v>
      </c>
      <c r="O120" s="2" t="s">
        <v>1204</v>
      </c>
      <c r="P120" s="2">
        <v>40</v>
      </c>
      <c r="Q120" s="3">
        <v>1</v>
      </c>
      <c r="R120" s="3" t="s">
        <v>836</v>
      </c>
      <c r="S120" s="2" t="s">
        <v>837</v>
      </c>
    </row>
    <row r="121" spans="1:19" ht="15.4" customHeight="1" x14ac:dyDescent="0.45">
      <c r="A121" s="2" t="s">
        <v>1048</v>
      </c>
      <c r="B121" s="2" t="s">
        <v>26</v>
      </c>
      <c r="C121" s="10"/>
      <c r="E121" s="15">
        <v>38</v>
      </c>
      <c r="F121" s="2" t="s">
        <v>1555</v>
      </c>
      <c r="G121" s="5" t="s">
        <v>191</v>
      </c>
      <c r="H121" s="2" t="s">
        <v>257</v>
      </c>
      <c r="I121" s="2" t="s">
        <v>220</v>
      </c>
      <c r="J121" s="2" t="s">
        <v>258</v>
      </c>
      <c r="K121" s="2" t="s">
        <v>9</v>
      </c>
      <c r="L121" s="2" t="s">
        <v>353</v>
      </c>
      <c r="M121" s="2" t="s">
        <v>11</v>
      </c>
      <c r="N121" s="2" t="s">
        <v>1299</v>
      </c>
      <c r="O121" s="2" t="s">
        <v>1204</v>
      </c>
      <c r="P121" s="2">
        <v>40</v>
      </c>
      <c r="Q121" s="3">
        <v>1</v>
      </c>
      <c r="R121" s="3" t="s">
        <v>850</v>
      </c>
      <c r="S121" s="2" t="s">
        <v>839</v>
      </c>
    </row>
    <row r="122" spans="1:19" ht="15.4" customHeight="1" x14ac:dyDescent="0.45">
      <c r="A122" s="2" t="s">
        <v>1049</v>
      </c>
      <c r="B122" s="2" t="s">
        <v>26</v>
      </c>
      <c r="C122" s="10"/>
      <c r="E122" s="15">
        <v>39</v>
      </c>
      <c r="F122" s="2" t="s">
        <v>1555</v>
      </c>
      <c r="G122" s="5" t="s">
        <v>191</v>
      </c>
      <c r="H122" s="2" t="s">
        <v>257</v>
      </c>
      <c r="I122" s="2" t="s">
        <v>100</v>
      </c>
      <c r="J122" s="2" t="s">
        <v>259</v>
      </c>
      <c r="K122" s="2" t="s">
        <v>9</v>
      </c>
      <c r="L122" s="2" t="s">
        <v>354</v>
      </c>
      <c r="M122" s="2" t="s">
        <v>11</v>
      </c>
      <c r="N122" s="2" t="s">
        <v>1300</v>
      </c>
      <c r="O122" s="2" t="s">
        <v>1204</v>
      </c>
      <c r="P122" s="2">
        <v>40</v>
      </c>
      <c r="Q122" s="3">
        <v>1</v>
      </c>
      <c r="R122" s="3" t="s">
        <v>836</v>
      </c>
      <c r="S122" s="2" t="s">
        <v>837</v>
      </c>
    </row>
    <row r="123" spans="1:19" ht="15.4" customHeight="1" x14ac:dyDescent="0.45">
      <c r="A123" s="2" t="s">
        <v>1050</v>
      </c>
      <c r="B123" s="2" t="s">
        <v>26</v>
      </c>
      <c r="C123" s="10"/>
      <c r="E123" s="15">
        <v>40</v>
      </c>
      <c r="F123" s="2" t="s">
        <v>1555</v>
      </c>
      <c r="G123" s="5" t="s">
        <v>191</v>
      </c>
      <c r="H123" s="2" t="s">
        <v>257</v>
      </c>
      <c r="I123" s="2" t="s">
        <v>260</v>
      </c>
      <c r="J123" s="2" t="s">
        <v>261</v>
      </c>
      <c r="K123" s="2" t="s">
        <v>9</v>
      </c>
      <c r="L123" s="2" t="s">
        <v>355</v>
      </c>
      <c r="M123" s="2" t="s">
        <v>11</v>
      </c>
      <c r="N123" s="2" t="s">
        <v>1301</v>
      </c>
      <c r="O123" s="2" t="s">
        <v>1204</v>
      </c>
      <c r="P123" s="2">
        <v>40</v>
      </c>
      <c r="Q123" s="3">
        <v>1</v>
      </c>
      <c r="R123" s="3" t="s">
        <v>836</v>
      </c>
      <c r="S123" s="2" t="s">
        <v>837</v>
      </c>
    </row>
    <row r="124" spans="1:19" ht="15.4" customHeight="1" x14ac:dyDescent="0.45">
      <c r="A124" s="2" t="s">
        <v>1051</v>
      </c>
      <c r="B124" s="2" t="s">
        <v>26</v>
      </c>
      <c r="C124" s="10"/>
      <c r="E124" s="15">
        <v>41</v>
      </c>
      <c r="F124" s="2" t="s">
        <v>1555</v>
      </c>
      <c r="G124" s="5" t="s">
        <v>191</v>
      </c>
      <c r="H124" s="2" t="s">
        <v>262</v>
      </c>
      <c r="I124" s="2" t="s">
        <v>220</v>
      </c>
      <c r="J124" s="2" t="s">
        <v>263</v>
      </c>
      <c r="K124" s="2" t="s">
        <v>9</v>
      </c>
      <c r="L124" s="2" t="s">
        <v>356</v>
      </c>
      <c r="M124" s="2" t="s">
        <v>11</v>
      </c>
      <c r="N124" s="2" t="s">
        <v>1302</v>
      </c>
      <c r="O124" s="2" t="s">
        <v>1204</v>
      </c>
      <c r="P124" s="2">
        <v>40</v>
      </c>
      <c r="Q124" s="3">
        <v>1</v>
      </c>
      <c r="R124" s="3" t="s">
        <v>838</v>
      </c>
      <c r="S124" s="2" t="s">
        <v>839</v>
      </c>
    </row>
    <row r="125" spans="1:19" ht="15.4" customHeight="1" x14ac:dyDescent="0.45">
      <c r="A125" s="2" t="s">
        <v>1052</v>
      </c>
      <c r="B125" s="2" t="s">
        <v>26</v>
      </c>
      <c r="C125" s="10"/>
      <c r="E125" s="15">
        <v>42</v>
      </c>
      <c r="F125" s="2" t="s">
        <v>1555</v>
      </c>
      <c r="G125" s="5" t="s">
        <v>191</v>
      </c>
      <c r="H125" s="2" t="s">
        <v>262</v>
      </c>
      <c r="I125" s="2" t="s">
        <v>264</v>
      </c>
      <c r="J125" s="2" t="s">
        <v>265</v>
      </c>
      <c r="K125" s="2" t="s">
        <v>9</v>
      </c>
      <c r="L125" s="2" t="s">
        <v>357</v>
      </c>
      <c r="M125" s="2" t="s">
        <v>11</v>
      </c>
      <c r="N125" s="2" t="s">
        <v>1303</v>
      </c>
      <c r="O125" s="2" t="s">
        <v>1204</v>
      </c>
      <c r="P125" s="2">
        <v>40</v>
      </c>
      <c r="Q125" s="3">
        <v>1</v>
      </c>
      <c r="R125" s="3" t="s">
        <v>836</v>
      </c>
      <c r="S125" s="2" t="s">
        <v>837</v>
      </c>
    </row>
    <row r="126" spans="1:19" ht="15.4" customHeight="1" x14ac:dyDescent="0.45">
      <c r="A126" s="2" t="s">
        <v>1053</v>
      </c>
      <c r="B126" s="2" t="s">
        <v>26</v>
      </c>
      <c r="C126" s="10"/>
      <c r="E126" s="15">
        <v>43</v>
      </c>
      <c r="F126" s="2" t="s">
        <v>1555</v>
      </c>
      <c r="G126" s="5" t="s">
        <v>191</v>
      </c>
      <c r="H126" s="2" t="s">
        <v>262</v>
      </c>
      <c r="I126" s="2" t="s">
        <v>100</v>
      </c>
      <c r="J126" s="2" t="s">
        <v>266</v>
      </c>
      <c r="K126" s="2" t="s">
        <v>9</v>
      </c>
      <c r="L126" s="2" t="s">
        <v>358</v>
      </c>
      <c r="M126" s="2" t="s">
        <v>11</v>
      </c>
      <c r="N126" s="2" t="s">
        <v>1304</v>
      </c>
      <c r="O126" s="2" t="s">
        <v>1204</v>
      </c>
      <c r="P126" s="2">
        <v>40</v>
      </c>
      <c r="Q126" s="3">
        <v>1</v>
      </c>
      <c r="R126" s="3" t="s">
        <v>836</v>
      </c>
      <c r="S126" s="2" t="s">
        <v>837</v>
      </c>
    </row>
    <row r="127" spans="1:19" ht="15.4" customHeight="1" x14ac:dyDescent="0.45">
      <c r="A127" s="2" t="s">
        <v>1054</v>
      </c>
      <c r="B127" s="2" t="s">
        <v>26</v>
      </c>
      <c r="C127" s="10"/>
      <c r="E127" s="15">
        <v>44</v>
      </c>
      <c r="F127" s="2" t="s">
        <v>1555</v>
      </c>
      <c r="G127" s="5" t="s">
        <v>191</v>
      </c>
      <c r="H127" s="2" t="s">
        <v>262</v>
      </c>
      <c r="I127" s="2" t="s">
        <v>267</v>
      </c>
      <c r="J127" s="2" t="s">
        <v>268</v>
      </c>
      <c r="K127" s="2" t="s">
        <v>9</v>
      </c>
      <c r="L127" s="2" t="s">
        <v>359</v>
      </c>
      <c r="M127" s="2" t="s">
        <v>11</v>
      </c>
      <c r="N127" s="2" t="s">
        <v>1305</v>
      </c>
      <c r="O127" s="2" t="s">
        <v>1204</v>
      </c>
      <c r="P127" s="2">
        <v>40</v>
      </c>
      <c r="Q127" s="3">
        <v>1</v>
      </c>
      <c r="R127" s="3" t="s">
        <v>836</v>
      </c>
      <c r="S127" s="2" t="s">
        <v>837</v>
      </c>
    </row>
    <row r="128" spans="1:19" ht="15.4" customHeight="1" x14ac:dyDescent="0.45">
      <c r="A128" s="2" t="s">
        <v>1055</v>
      </c>
      <c r="B128" s="2" t="s">
        <v>26</v>
      </c>
      <c r="C128" s="10"/>
      <c r="E128" s="15">
        <v>45</v>
      </c>
      <c r="F128" s="2" t="s">
        <v>1555</v>
      </c>
      <c r="G128" s="5" t="s">
        <v>191</v>
      </c>
      <c r="H128" s="2" t="s">
        <v>262</v>
      </c>
      <c r="I128" s="2" t="s">
        <v>269</v>
      </c>
      <c r="J128" s="2" t="s">
        <v>270</v>
      </c>
      <c r="K128" s="2" t="s">
        <v>9</v>
      </c>
      <c r="L128" s="2" t="s">
        <v>360</v>
      </c>
      <c r="M128" s="2" t="s">
        <v>11</v>
      </c>
      <c r="N128" s="2" t="s">
        <v>1306</v>
      </c>
      <c r="O128" s="2" t="s">
        <v>1204</v>
      </c>
      <c r="P128" s="2">
        <v>40</v>
      </c>
      <c r="Q128" s="3">
        <v>1</v>
      </c>
      <c r="R128" s="3" t="s">
        <v>836</v>
      </c>
      <c r="S128" s="2" t="s">
        <v>837</v>
      </c>
    </row>
    <row r="129" spans="1:19" ht="15.4" customHeight="1" x14ac:dyDescent="0.45">
      <c r="A129" s="2" t="s">
        <v>1056</v>
      </c>
      <c r="B129" s="2" t="s">
        <v>26</v>
      </c>
      <c r="C129" s="10"/>
      <c r="E129" s="15">
        <v>46</v>
      </c>
      <c r="F129" s="2" t="s">
        <v>1555</v>
      </c>
      <c r="G129" s="5" t="s">
        <v>191</v>
      </c>
      <c r="H129" s="2" t="s">
        <v>262</v>
      </c>
      <c r="I129" s="2" t="s">
        <v>271</v>
      </c>
      <c r="J129" s="2" t="s">
        <v>272</v>
      </c>
      <c r="K129" s="2" t="s">
        <v>9</v>
      </c>
      <c r="L129" s="2" t="s">
        <v>361</v>
      </c>
      <c r="M129" s="2" t="s">
        <v>11</v>
      </c>
      <c r="N129" s="2" t="s">
        <v>1307</v>
      </c>
      <c r="O129" s="2" t="s">
        <v>1204</v>
      </c>
      <c r="P129" s="2">
        <v>40</v>
      </c>
      <c r="Q129" s="3">
        <v>1</v>
      </c>
      <c r="R129" s="3" t="s">
        <v>836</v>
      </c>
      <c r="S129" s="2" t="s">
        <v>837</v>
      </c>
    </row>
    <row r="130" spans="1:19" ht="15.4" customHeight="1" x14ac:dyDescent="0.45">
      <c r="A130" s="2" t="s">
        <v>1057</v>
      </c>
      <c r="B130" s="2" t="s">
        <v>26</v>
      </c>
      <c r="C130" s="10"/>
      <c r="E130" s="15">
        <v>47</v>
      </c>
      <c r="F130" s="2" t="s">
        <v>1555</v>
      </c>
      <c r="G130" s="5" t="s">
        <v>191</v>
      </c>
      <c r="H130" s="2" t="s">
        <v>262</v>
      </c>
      <c r="I130" s="2" t="s">
        <v>273</v>
      </c>
      <c r="J130" s="2" t="s">
        <v>274</v>
      </c>
      <c r="K130" s="2" t="s">
        <v>9</v>
      </c>
      <c r="L130" s="2" t="s">
        <v>362</v>
      </c>
      <c r="M130" s="2" t="s">
        <v>11</v>
      </c>
      <c r="N130" s="2" t="s">
        <v>1308</v>
      </c>
      <c r="O130" s="2" t="s">
        <v>1204</v>
      </c>
      <c r="P130" s="2">
        <v>40</v>
      </c>
      <c r="Q130" s="3">
        <v>1</v>
      </c>
      <c r="R130" s="3" t="s">
        <v>836</v>
      </c>
      <c r="S130" s="2" t="s">
        <v>837</v>
      </c>
    </row>
    <row r="131" spans="1:19" ht="15.4" customHeight="1" x14ac:dyDescent="0.45">
      <c r="A131" s="2" t="s">
        <v>1058</v>
      </c>
      <c r="B131" s="2" t="s">
        <v>26</v>
      </c>
      <c r="C131" s="10"/>
      <c r="E131" s="15">
        <v>48</v>
      </c>
      <c r="F131" s="2" t="s">
        <v>1555</v>
      </c>
      <c r="G131" s="5" t="s">
        <v>191</v>
      </c>
      <c r="H131" s="2" t="s">
        <v>262</v>
      </c>
      <c r="I131" s="2" t="s">
        <v>275</v>
      </c>
      <c r="J131" s="2" t="s">
        <v>276</v>
      </c>
      <c r="K131" s="2" t="s">
        <v>9</v>
      </c>
      <c r="L131" s="2" t="s">
        <v>363</v>
      </c>
      <c r="M131" s="2" t="s">
        <v>11</v>
      </c>
      <c r="N131" s="2" t="s">
        <v>1309</v>
      </c>
      <c r="O131" s="2" t="s">
        <v>1204</v>
      </c>
      <c r="P131" s="2">
        <v>40</v>
      </c>
      <c r="Q131" s="3">
        <v>1</v>
      </c>
      <c r="R131" s="3" t="s">
        <v>836</v>
      </c>
      <c r="S131" s="2" t="s">
        <v>837</v>
      </c>
    </row>
    <row r="132" spans="1:19" ht="15.4" customHeight="1" x14ac:dyDescent="0.45">
      <c r="A132" s="2" t="s">
        <v>1059</v>
      </c>
      <c r="B132" s="2" t="s">
        <v>26</v>
      </c>
      <c r="C132" s="10"/>
      <c r="E132" s="15">
        <v>49</v>
      </c>
      <c r="F132" s="2" t="s">
        <v>1555</v>
      </c>
      <c r="G132" s="5" t="s">
        <v>191</v>
      </c>
      <c r="H132" s="2" t="s">
        <v>262</v>
      </c>
      <c r="I132" s="2" t="s">
        <v>277</v>
      </c>
      <c r="J132" s="2" t="s">
        <v>278</v>
      </c>
      <c r="K132" s="2" t="s">
        <v>9</v>
      </c>
      <c r="L132" s="2" t="s">
        <v>364</v>
      </c>
      <c r="M132" s="2" t="s">
        <v>11</v>
      </c>
      <c r="N132" s="2" t="s">
        <v>1310</v>
      </c>
      <c r="O132" s="2" t="s">
        <v>1204</v>
      </c>
      <c r="P132" s="2">
        <v>40</v>
      </c>
      <c r="Q132" s="3">
        <v>1</v>
      </c>
      <c r="R132" s="3" t="s">
        <v>836</v>
      </c>
      <c r="S132" s="2" t="s">
        <v>837</v>
      </c>
    </row>
    <row r="133" spans="1:19" ht="15.4" customHeight="1" x14ac:dyDescent="0.45">
      <c r="A133" s="2" t="s">
        <v>1060</v>
      </c>
      <c r="B133" s="2" t="s">
        <v>26</v>
      </c>
      <c r="C133" s="10"/>
      <c r="E133" s="15">
        <v>50</v>
      </c>
      <c r="F133" s="2" t="s">
        <v>1555</v>
      </c>
      <c r="G133" s="5" t="s">
        <v>191</v>
      </c>
      <c r="H133" s="2" t="s">
        <v>279</v>
      </c>
      <c r="I133" s="2" t="s">
        <v>365</v>
      </c>
      <c r="J133" s="2" t="s">
        <v>280</v>
      </c>
      <c r="K133" s="2" t="s">
        <v>9</v>
      </c>
      <c r="L133" s="2" t="s">
        <v>366</v>
      </c>
      <c r="M133" s="2" t="s">
        <v>11</v>
      </c>
      <c r="N133" s="2" t="s">
        <v>1311</v>
      </c>
      <c r="O133" s="2" t="s">
        <v>1204</v>
      </c>
      <c r="P133" s="2">
        <v>40</v>
      </c>
      <c r="Q133" s="3">
        <v>1</v>
      </c>
      <c r="R133" s="3" t="s">
        <v>838</v>
      </c>
      <c r="S133" s="2" t="s">
        <v>852</v>
      </c>
    </row>
    <row r="134" spans="1:19" ht="15.4" customHeight="1" x14ac:dyDescent="0.45">
      <c r="A134" s="2" t="s">
        <v>1061</v>
      </c>
      <c r="B134" s="2" t="s">
        <v>26</v>
      </c>
      <c r="C134" s="10"/>
      <c r="E134" s="15">
        <v>51</v>
      </c>
      <c r="F134" s="2" t="s">
        <v>1555</v>
      </c>
      <c r="G134" s="5" t="s">
        <v>191</v>
      </c>
      <c r="H134" s="2" t="s">
        <v>279</v>
      </c>
      <c r="I134" s="2" t="s">
        <v>281</v>
      </c>
      <c r="J134" s="2" t="s">
        <v>280</v>
      </c>
      <c r="K134" s="2" t="s">
        <v>9</v>
      </c>
      <c r="L134" s="2" t="s">
        <v>366</v>
      </c>
      <c r="M134" s="2" t="s">
        <v>11</v>
      </c>
      <c r="N134" s="2" t="s">
        <v>1312</v>
      </c>
      <c r="O134" s="2" t="s">
        <v>1204</v>
      </c>
      <c r="P134" s="2">
        <v>40</v>
      </c>
      <c r="Q134" s="3">
        <v>1</v>
      </c>
      <c r="R134" s="3" t="s">
        <v>838</v>
      </c>
      <c r="S134" s="2" t="s">
        <v>852</v>
      </c>
    </row>
    <row r="135" spans="1:19" ht="15.4" customHeight="1" x14ac:dyDescent="0.45">
      <c r="A135" s="2" t="s">
        <v>1062</v>
      </c>
      <c r="B135" s="2" t="s">
        <v>26</v>
      </c>
      <c r="C135" s="10"/>
      <c r="E135" s="15">
        <v>52</v>
      </c>
      <c r="F135" s="2" t="s">
        <v>1555</v>
      </c>
      <c r="G135" s="5" t="s">
        <v>191</v>
      </c>
      <c r="H135" s="2" t="s">
        <v>279</v>
      </c>
      <c r="I135" s="2" t="s">
        <v>282</v>
      </c>
      <c r="J135" s="2" t="s">
        <v>283</v>
      </c>
      <c r="K135" s="2" t="s">
        <v>9</v>
      </c>
      <c r="L135" s="2" t="s">
        <v>367</v>
      </c>
      <c r="M135" s="2" t="s">
        <v>11</v>
      </c>
      <c r="N135" s="2" t="s">
        <v>1313</v>
      </c>
      <c r="O135" s="2" t="s">
        <v>1204</v>
      </c>
      <c r="P135" s="2" t="s">
        <v>827</v>
      </c>
    </row>
    <row r="136" spans="1:19" ht="15.4" customHeight="1" x14ac:dyDescent="0.45">
      <c r="A136" s="2" t="s">
        <v>1063</v>
      </c>
      <c r="B136" s="2" t="s">
        <v>26</v>
      </c>
      <c r="C136" s="10"/>
      <c r="E136" s="15">
        <v>53</v>
      </c>
      <c r="F136" s="2" t="s">
        <v>1555</v>
      </c>
      <c r="G136" s="5" t="s">
        <v>191</v>
      </c>
      <c r="H136" s="2" t="s">
        <v>284</v>
      </c>
      <c r="I136" s="2" t="s">
        <v>285</v>
      </c>
      <c r="J136" s="2" t="s">
        <v>286</v>
      </c>
      <c r="K136" s="2" t="s">
        <v>9</v>
      </c>
      <c r="L136" s="2" t="s">
        <v>368</v>
      </c>
      <c r="M136" s="2" t="s">
        <v>11</v>
      </c>
      <c r="N136" s="2" t="s">
        <v>1314</v>
      </c>
      <c r="O136" s="2" t="s">
        <v>1204</v>
      </c>
      <c r="P136" s="2">
        <v>40</v>
      </c>
      <c r="Q136" s="3">
        <v>1</v>
      </c>
      <c r="R136" s="3" t="s">
        <v>838</v>
      </c>
      <c r="S136" s="2" t="s">
        <v>839</v>
      </c>
    </row>
    <row r="137" spans="1:19" ht="15.4" customHeight="1" x14ac:dyDescent="0.45">
      <c r="A137" s="2" t="s">
        <v>1064</v>
      </c>
      <c r="B137" s="2" t="s">
        <v>26</v>
      </c>
      <c r="C137" s="10"/>
      <c r="E137" s="15">
        <v>54</v>
      </c>
      <c r="F137" s="2" t="s">
        <v>1555</v>
      </c>
      <c r="G137" s="5" t="s">
        <v>191</v>
      </c>
      <c r="H137" s="2" t="s">
        <v>284</v>
      </c>
      <c r="I137" s="2" t="s">
        <v>287</v>
      </c>
      <c r="J137" s="2" t="s">
        <v>288</v>
      </c>
      <c r="K137" s="2" t="s">
        <v>9</v>
      </c>
      <c r="L137" s="2" t="s">
        <v>369</v>
      </c>
      <c r="M137" s="2" t="s">
        <v>11</v>
      </c>
      <c r="N137" s="2" t="s">
        <v>1315</v>
      </c>
      <c r="O137" s="2" t="s">
        <v>1204</v>
      </c>
      <c r="P137" s="2">
        <v>40</v>
      </c>
      <c r="Q137" s="3">
        <v>1</v>
      </c>
      <c r="R137" s="3" t="s">
        <v>838</v>
      </c>
      <c r="S137" s="2" t="s">
        <v>839</v>
      </c>
    </row>
    <row r="138" spans="1:19" ht="15.4" customHeight="1" x14ac:dyDescent="0.45">
      <c r="A138" s="2" t="s">
        <v>1065</v>
      </c>
      <c r="B138" s="2" t="s">
        <v>26</v>
      </c>
      <c r="C138" s="10"/>
      <c r="E138" s="15">
        <v>55</v>
      </c>
      <c r="F138" s="2" t="s">
        <v>1555</v>
      </c>
      <c r="G138" s="5" t="s">
        <v>191</v>
      </c>
      <c r="H138" s="2" t="s">
        <v>284</v>
      </c>
      <c r="I138" s="2" t="s">
        <v>289</v>
      </c>
      <c r="J138" s="2" t="s">
        <v>290</v>
      </c>
      <c r="K138" s="2" t="s">
        <v>9</v>
      </c>
      <c r="L138" s="2" t="s">
        <v>370</v>
      </c>
      <c r="M138" s="2" t="s">
        <v>11</v>
      </c>
      <c r="N138" s="2" t="s">
        <v>1316</v>
      </c>
      <c r="O138" s="2" t="s">
        <v>1204</v>
      </c>
      <c r="P138" s="2">
        <v>40</v>
      </c>
      <c r="Q138" s="3">
        <v>1</v>
      </c>
      <c r="R138" s="3" t="s">
        <v>836</v>
      </c>
      <c r="S138" s="2" t="s">
        <v>837</v>
      </c>
    </row>
    <row r="139" spans="1:19" ht="15.4" customHeight="1" x14ac:dyDescent="0.45">
      <c r="A139" s="2" t="s">
        <v>1066</v>
      </c>
      <c r="B139" s="2" t="s">
        <v>26</v>
      </c>
      <c r="C139" s="10"/>
      <c r="E139" s="15">
        <v>56</v>
      </c>
      <c r="F139" s="2" t="s">
        <v>1555</v>
      </c>
      <c r="G139" s="5" t="s">
        <v>191</v>
      </c>
      <c r="H139" s="2" t="s">
        <v>284</v>
      </c>
      <c r="I139" s="2" t="s">
        <v>291</v>
      </c>
      <c r="J139" s="2" t="s">
        <v>292</v>
      </c>
      <c r="K139" s="2" t="s">
        <v>9</v>
      </c>
      <c r="L139" s="2" t="s">
        <v>371</v>
      </c>
      <c r="M139" s="2" t="s">
        <v>372</v>
      </c>
      <c r="N139" s="2" t="s">
        <v>1317</v>
      </c>
      <c r="O139" s="2" t="s">
        <v>1204</v>
      </c>
      <c r="P139" s="2">
        <v>40</v>
      </c>
      <c r="Q139" s="3">
        <v>1</v>
      </c>
      <c r="R139" s="3" t="s">
        <v>836</v>
      </c>
      <c r="S139" s="2" t="s">
        <v>837</v>
      </c>
    </row>
    <row r="140" spans="1:19" ht="15.4" customHeight="1" x14ac:dyDescent="0.45">
      <c r="A140" s="2" t="s">
        <v>1067</v>
      </c>
      <c r="B140" s="2" t="s">
        <v>26</v>
      </c>
      <c r="C140" s="10"/>
      <c r="E140" s="15">
        <v>57</v>
      </c>
      <c r="F140" s="2" t="s">
        <v>1555</v>
      </c>
      <c r="G140" s="5" t="s">
        <v>191</v>
      </c>
      <c r="H140" s="2" t="s">
        <v>284</v>
      </c>
      <c r="I140" s="2" t="s">
        <v>293</v>
      </c>
      <c r="J140" s="2" t="s">
        <v>294</v>
      </c>
      <c r="K140" s="2" t="s">
        <v>9</v>
      </c>
      <c r="L140" s="2" t="s">
        <v>373</v>
      </c>
      <c r="M140" s="2" t="s">
        <v>11</v>
      </c>
      <c r="N140" s="2" t="s">
        <v>1318</v>
      </c>
      <c r="O140" s="2" t="s">
        <v>1204</v>
      </c>
      <c r="P140" s="2">
        <v>40</v>
      </c>
      <c r="Q140" s="3">
        <v>1</v>
      </c>
      <c r="R140" s="3" t="s">
        <v>836</v>
      </c>
      <c r="S140" s="2" t="s">
        <v>837</v>
      </c>
    </row>
    <row r="141" spans="1:19" ht="15.4" customHeight="1" x14ac:dyDescent="0.45">
      <c r="A141" s="2" t="s">
        <v>1068</v>
      </c>
      <c r="B141" s="2" t="s">
        <v>26</v>
      </c>
      <c r="C141" s="10"/>
      <c r="E141" s="15">
        <v>58</v>
      </c>
      <c r="F141" s="2" t="s">
        <v>1555</v>
      </c>
      <c r="G141" s="5" t="s">
        <v>191</v>
      </c>
      <c r="H141" s="2" t="s">
        <v>284</v>
      </c>
      <c r="I141" s="2" t="s">
        <v>295</v>
      </c>
      <c r="J141" s="2" t="s">
        <v>296</v>
      </c>
      <c r="K141" s="2" t="s">
        <v>9</v>
      </c>
      <c r="L141" s="2" t="s">
        <v>374</v>
      </c>
      <c r="M141" s="2" t="s">
        <v>11</v>
      </c>
      <c r="N141" s="2" t="s">
        <v>1319</v>
      </c>
      <c r="O141" s="2" t="s">
        <v>1204</v>
      </c>
      <c r="P141" s="2">
        <v>40</v>
      </c>
      <c r="Q141" s="3">
        <v>1</v>
      </c>
      <c r="R141" s="3" t="s">
        <v>838</v>
      </c>
      <c r="S141" s="2" t="s">
        <v>839</v>
      </c>
    </row>
    <row r="142" spans="1:19" ht="15.4" customHeight="1" x14ac:dyDescent="0.45">
      <c r="A142" s="2" t="s">
        <v>1069</v>
      </c>
      <c r="B142" s="2" t="s">
        <v>26</v>
      </c>
      <c r="C142" s="10"/>
      <c r="E142" s="15">
        <v>59</v>
      </c>
      <c r="F142" s="2" t="s">
        <v>1555</v>
      </c>
      <c r="G142" s="5" t="s">
        <v>191</v>
      </c>
      <c r="H142" s="2" t="s">
        <v>284</v>
      </c>
      <c r="I142" s="2" t="s">
        <v>912</v>
      </c>
      <c r="J142" s="2" t="s">
        <v>913</v>
      </c>
      <c r="K142" s="2" t="s">
        <v>9</v>
      </c>
      <c r="L142" s="2" t="s">
        <v>375</v>
      </c>
      <c r="M142" s="2" t="s">
        <v>11</v>
      </c>
      <c r="N142" s="2" t="s">
        <v>1320</v>
      </c>
      <c r="O142" s="2" t="s">
        <v>1204</v>
      </c>
      <c r="P142" s="2">
        <v>40</v>
      </c>
      <c r="Q142" s="3">
        <v>1</v>
      </c>
      <c r="R142" s="3" t="s">
        <v>838</v>
      </c>
      <c r="S142" s="2" t="s">
        <v>839</v>
      </c>
    </row>
    <row r="143" spans="1:19" ht="15.4" customHeight="1" x14ac:dyDescent="0.45">
      <c r="A143" s="2" t="s">
        <v>1070</v>
      </c>
      <c r="B143" s="2" t="s">
        <v>26</v>
      </c>
      <c r="C143" s="10"/>
      <c r="E143" s="15">
        <v>60</v>
      </c>
      <c r="F143" s="2" t="s">
        <v>1555</v>
      </c>
      <c r="G143" s="5" t="s">
        <v>191</v>
      </c>
      <c r="H143" s="2" t="s">
        <v>284</v>
      </c>
      <c r="I143" s="2" t="s">
        <v>297</v>
      </c>
      <c r="J143" s="2" t="s">
        <v>298</v>
      </c>
      <c r="K143" s="2" t="s">
        <v>9</v>
      </c>
      <c r="L143" s="2" t="s">
        <v>376</v>
      </c>
      <c r="M143" s="2" t="s">
        <v>11</v>
      </c>
      <c r="N143" s="2" t="s">
        <v>1321</v>
      </c>
      <c r="O143" s="2" t="s">
        <v>1204</v>
      </c>
      <c r="P143" s="2" t="s">
        <v>848</v>
      </c>
      <c r="Q143" s="3">
        <v>3</v>
      </c>
      <c r="R143" s="3" t="s">
        <v>853</v>
      </c>
      <c r="S143" s="2" t="s">
        <v>854</v>
      </c>
    </row>
    <row r="144" spans="1:19" ht="15.4" customHeight="1" x14ac:dyDescent="0.45">
      <c r="A144" s="2" t="s">
        <v>1071</v>
      </c>
      <c r="B144" s="2" t="s">
        <v>26</v>
      </c>
      <c r="C144" s="10"/>
      <c r="E144" s="15">
        <v>61</v>
      </c>
      <c r="F144" s="2" t="s">
        <v>1555</v>
      </c>
      <c r="G144" s="5" t="s">
        <v>191</v>
      </c>
      <c r="H144" s="2" t="s">
        <v>284</v>
      </c>
      <c r="I144" s="2" t="s">
        <v>299</v>
      </c>
      <c r="J144" s="2" t="s">
        <v>300</v>
      </c>
      <c r="K144" s="2" t="s">
        <v>9</v>
      </c>
      <c r="L144" s="2" t="s">
        <v>377</v>
      </c>
      <c r="M144" s="2" t="s">
        <v>11</v>
      </c>
      <c r="N144" s="2" t="s">
        <v>1322</v>
      </c>
      <c r="O144" s="2" t="s">
        <v>1204</v>
      </c>
    </row>
    <row r="145" spans="1:19" ht="15.4" customHeight="1" x14ac:dyDescent="0.45">
      <c r="A145" s="2" t="s">
        <v>1072</v>
      </c>
      <c r="B145" s="2" t="s">
        <v>26</v>
      </c>
      <c r="C145" s="10"/>
      <c r="E145" s="15">
        <v>62</v>
      </c>
      <c r="F145" s="2" t="s">
        <v>1555</v>
      </c>
      <c r="G145" s="5" t="s">
        <v>191</v>
      </c>
      <c r="H145" s="2" t="s">
        <v>284</v>
      </c>
      <c r="I145" s="2" t="s">
        <v>301</v>
      </c>
      <c r="J145" s="2" t="s">
        <v>302</v>
      </c>
      <c r="K145" s="2" t="s">
        <v>9</v>
      </c>
      <c r="L145" s="2" t="s">
        <v>378</v>
      </c>
      <c r="M145" s="2" t="s">
        <v>11</v>
      </c>
      <c r="N145" s="2" t="s">
        <v>1323</v>
      </c>
      <c r="O145" s="2" t="s">
        <v>1204</v>
      </c>
    </row>
    <row r="146" spans="1:19" ht="15.4" customHeight="1" x14ac:dyDescent="0.45">
      <c r="A146" s="2" t="s">
        <v>1073</v>
      </c>
      <c r="B146" s="2" t="s">
        <v>26</v>
      </c>
      <c r="C146" s="10"/>
      <c r="E146" s="15">
        <v>63</v>
      </c>
      <c r="F146" s="2" t="s">
        <v>1555</v>
      </c>
      <c r="G146" s="5" t="s">
        <v>191</v>
      </c>
      <c r="H146" s="2" t="s">
        <v>284</v>
      </c>
      <c r="I146" s="2" t="s">
        <v>303</v>
      </c>
      <c r="J146" s="2" t="s">
        <v>304</v>
      </c>
      <c r="K146" s="2" t="s">
        <v>9</v>
      </c>
      <c r="L146" s="2" t="s">
        <v>379</v>
      </c>
      <c r="M146" s="2" t="s">
        <v>11</v>
      </c>
      <c r="N146" s="2" t="s">
        <v>1324</v>
      </c>
      <c r="O146" s="2" t="s">
        <v>1204</v>
      </c>
    </row>
    <row r="147" spans="1:19" ht="15.4" customHeight="1" x14ac:dyDescent="0.45">
      <c r="A147" s="2" t="s">
        <v>1074</v>
      </c>
      <c r="B147" s="2" t="s">
        <v>26</v>
      </c>
      <c r="C147" s="10"/>
      <c r="E147" s="15">
        <v>64</v>
      </c>
      <c r="F147" s="2" t="s">
        <v>1555</v>
      </c>
      <c r="G147" s="5" t="s">
        <v>191</v>
      </c>
      <c r="H147" s="2" t="s">
        <v>284</v>
      </c>
      <c r="I147" s="2" t="s">
        <v>305</v>
      </c>
      <c r="J147" s="2" t="s">
        <v>306</v>
      </c>
      <c r="K147" s="2" t="s">
        <v>9</v>
      </c>
      <c r="L147" s="2" t="s">
        <v>380</v>
      </c>
      <c r="M147" s="2" t="s">
        <v>11</v>
      </c>
      <c r="N147" s="2" t="s">
        <v>1325</v>
      </c>
      <c r="O147" s="2" t="s">
        <v>1204</v>
      </c>
    </row>
    <row r="148" spans="1:19" ht="15.4" customHeight="1" x14ac:dyDescent="0.45">
      <c r="A148" s="2" t="s">
        <v>1075</v>
      </c>
      <c r="B148" s="2" t="s">
        <v>26</v>
      </c>
      <c r="C148" s="10"/>
      <c r="E148" s="15">
        <v>65</v>
      </c>
      <c r="F148" s="2" t="s">
        <v>1555</v>
      </c>
      <c r="G148" s="5" t="s">
        <v>191</v>
      </c>
      <c r="H148" s="2" t="s">
        <v>284</v>
      </c>
      <c r="I148" s="2" t="s">
        <v>307</v>
      </c>
      <c r="J148" s="2" t="s">
        <v>308</v>
      </c>
      <c r="K148" s="2" t="s">
        <v>9</v>
      </c>
      <c r="L148" s="2" t="s">
        <v>381</v>
      </c>
      <c r="M148" s="2" t="s">
        <v>11</v>
      </c>
      <c r="N148" s="2" t="s">
        <v>1326</v>
      </c>
      <c r="O148" s="2" t="s">
        <v>1204</v>
      </c>
    </row>
    <row r="149" spans="1:19" ht="15.4" customHeight="1" x14ac:dyDescent="0.45">
      <c r="A149" s="2" t="s">
        <v>1076</v>
      </c>
      <c r="B149" s="2" t="s">
        <v>26</v>
      </c>
      <c r="C149" s="10"/>
      <c r="E149" s="15">
        <v>66</v>
      </c>
      <c r="F149" s="2" t="s">
        <v>1555</v>
      </c>
      <c r="G149" s="5" t="s">
        <v>191</v>
      </c>
      <c r="H149" s="2" t="s">
        <v>284</v>
      </c>
      <c r="I149" s="2" t="s">
        <v>309</v>
      </c>
      <c r="J149" s="2" t="s">
        <v>310</v>
      </c>
      <c r="K149" s="2" t="s">
        <v>9</v>
      </c>
      <c r="L149" s="2" t="s">
        <v>382</v>
      </c>
      <c r="M149" s="2" t="s">
        <v>11</v>
      </c>
      <c r="N149" s="2" t="s">
        <v>1327</v>
      </c>
      <c r="O149" s="2" t="s">
        <v>1204</v>
      </c>
    </row>
    <row r="150" spans="1:19" ht="15.4" customHeight="1" x14ac:dyDescent="0.45">
      <c r="A150" s="2" t="s">
        <v>1077</v>
      </c>
      <c r="B150" s="2" t="s">
        <v>26</v>
      </c>
      <c r="C150" s="10"/>
      <c r="E150" s="15">
        <v>67</v>
      </c>
      <c r="F150" s="2" t="s">
        <v>1555</v>
      </c>
      <c r="G150" s="5" t="s">
        <v>191</v>
      </c>
      <c r="H150" s="2" t="s">
        <v>284</v>
      </c>
      <c r="I150" s="2" t="s">
        <v>311</v>
      </c>
      <c r="J150" s="7" t="s">
        <v>317</v>
      </c>
      <c r="K150" s="2" t="s">
        <v>9</v>
      </c>
      <c r="L150" s="7"/>
      <c r="N150" s="2" t="s">
        <v>1328</v>
      </c>
      <c r="O150" s="2" t="s">
        <v>1204</v>
      </c>
    </row>
    <row r="151" spans="1:19" ht="15.4" customHeight="1" x14ac:dyDescent="0.45">
      <c r="A151" s="2" t="s">
        <v>1078</v>
      </c>
      <c r="B151" s="2" t="s">
        <v>26</v>
      </c>
      <c r="C151" s="10"/>
      <c r="E151" s="15">
        <v>68</v>
      </c>
      <c r="F151" s="2" t="s">
        <v>1555</v>
      </c>
      <c r="G151" s="5" t="s">
        <v>191</v>
      </c>
      <c r="H151" s="2" t="s">
        <v>312</v>
      </c>
      <c r="I151" s="2" t="s">
        <v>313</v>
      </c>
      <c r="J151" s="2" t="s">
        <v>314</v>
      </c>
      <c r="K151" s="2" t="s">
        <v>9</v>
      </c>
      <c r="L151" s="2" t="s">
        <v>383</v>
      </c>
      <c r="M151" s="2" t="s">
        <v>11</v>
      </c>
      <c r="N151" s="2" t="s">
        <v>1329</v>
      </c>
      <c r="O151" s="2" t="s">
        <v>1204</v>
      </c>
      <c r="P151" s="2">
        <v>40</v>
      </c>
      <c r="Q151" s="3">
        <v>1</v>
      </c>
      <c r="R151" s="3" t="s">
        <v>836</v>
      </c>
      <c r="S151" s="2" t="s">
        <v>837</v>
      </c>
    </row>
    <row r="152" spans="1:19" ht="15.4" customHeight="1" x14ac:dyDescent="0.45">
      <c r="A152" s="2" t="s">
        <v>1079</v>
      </c>
      <c r="B152" s="2" t="s">
        <v>1545</v>
      </c>
      <c r="C152" s="10"/>
      <c r="E152" s="15">
        <v>1</v>
      </c>
      <c r="F152" s="2" t="s">
        <v>1556</v>
      </c>
      <c r="G152" s="5" t="s">
        <v>385</v>
      </c>
      <c r="H152" s="2" t="s">
        <v>386</v>
      </c>
      <c r="I152" s="2" t="s">
        <v>387</v>
      </c>
      <c r="J152" s="2" t="s">
        <v>388</v>
      </c>
      <c r="K152" s="2" t="s">
        <v>9</v>
      </c>
      <c r="L152" s="2" t="s">
        <v>404</v>
      </c>
      <c r="M152" s="2" t="s">
        <v>11</v>
      </c>
      <c r="N152" s="2" t="s">
        <v>1330</v>
      </c>
      <c r="O152" s="2" t="s">
        <v>1204</v>
      </c>
    </row>
    <row r="153" spans="1:19" ht="15.4" customHeight="1" x14ac:dyDescent="0.45">
      <c r="A153" s="2" t="s">
        <v>1080</v>
      </c>
      <c r="B153" s="2" t="s">
        <v>1545</v>
      </c>
      <c r="C153" s="10"/>
      <c r="E153" s="15">
        <v>2</v>
      </c>
      <c r="F153" s="2" t="s">
        <v>1556</v>
      </c>
      <c r="G153" s="5" t="s">
        <v>385</v>
      </c>
      <c r="H153" s="2" t="s">
        <v>386</v>
      </c>
      <c r="I153" s="2" t="s">
        <v>389</v>
      </c>
      <c r="J153" s="2" t="s">
        <v>390</v>
      </c>
      <c r="K153" s="2" t="s">
        <v>9</v>
      </c>
      <c r="L153" s="2" t="s">
        <v>405</v>
      </c>
      <c r="M153" s="2" t="s">
        <v>11</v>
      </c>
      <c r="N153" s="2" t="s">
        <v>1331</v>
      </c>
      <c r="O153" s="2" t="s">
        <v>1204</v>
      </c>
    </row>
    <row r="154" spans="1:19" ht="15.4" customHeight="1" x14ac:dyDescent="0.45">
      <c r="A154" s="2" t="s">
        <v>1081</v>
      </c>
      <c r="B154" s="2" t="s">
        <v>1545</v>
      </c>
      <c r="C154" s="10"/>
      <c r="E154" s="15">
        <v>3</v>
      </c>
      <c r="F154" s="2" t="s">
        <v>1556</v>
      </c>
      <c r="G154" s="5" t="s">
        <v>385</v>
      </c>
      <c r="H154" s="2" t="s">
        <v>386</v>
      </c>
      <c r="I154" s="2" t="s">
        <v>391</v>
      </c>
      <c r="J154" s="2" t="s">
        <v>392</v>
      </c>
      <c r="K154" s="2" t="s">
        <v>9</v>
      </c>
      <c r="L154" s="2" t="s">
        <v>406</v>
      </c>
      <c r="M154" s="2" t="s">
        <v>11</v>
      </c>
      <c r="N154" s="2" t="s">
        <v>1332</v>
      </c>
      <c r="O154" s="2" t="s">
        <v>1204</v>
      </c>
    </row>
    <row r="155" spans="1:19" ht="15.4" customHeight="1" x14ac:dyDescent="0.45">
      <c r="A155" s="2" t="s">
        <v>1082</v>
      </c>
      <c r="B155" s="2" t="s">
        <v>1545</v>
      </c>
      <c r="C155" s="10"/>
      <c r="E155" s="15">
        <v>4</v>
      </c>
      <c r="F155" s="2" t="s">
        <v>1556</v>
      </c>
      <c r="G155" s="5" t="s">
        <v>385</v>
      </c>
      <c r="H155" s="2" t="s">
        <v>386</v>
      </c>
      <c r="I155" s="2" t="s">
        <v>393</v>
      </c>
      <c r="J155" s="2" t="s">
        <v>394</v>
      </c>
      <c r="K155" s="2" t="s">
        <v>9</v>
      </c>
      <c r="L155" s="2" t="s">
        <v>407</v>
      </c>
      <c r="M155" s="2" t="s">
        <v>11</v>
      </c>
      <c r="N155" s="2" t="s">
        <v>1333</v>
      </c>
      <c r="O155" s="2" t="s">
        <v>1204</v>
      </c>
    </row>
    <row r="156" spans="1:19" ht="15.4" customHeight="1" x14ac:dyDescent="0.45">
      <c r="A156" s="2" t="s">
        <v>1083</v>
      </c>
      <c r="B156" s="2" t="s">
        <v>1545</v>
      </c>
      <c r="C156" s="10"/>
      <c r="E156" s="15">
        <v>5</v>
      </c>
      <c r="F156" s="2" t="s">
        <v>1556</v>
      </c>
      <c r="G156" s="5" t="s">
        <v>385</v>
      </c>
      <c r="H156" s="2" t="s">
        <v>386</v>
      </c>
      <c r="I156" s="2" t="s">
        <v>395</v>
      </c>
      <c r="J156" s="2" t="s">
        <v>396</v>
      </c>
      <c r="K156" s="2" t="s">
        <v>9</v>
      </c>
      <c r="L156" s="2" t="s">
        <v>408</v>
      </c>
      <c r="M156" s="2" t="s">
        <v>11</v>
      </c>
      <c r="N156" s="2" t="s">
        <v>1334</v>
      </c>
      <c r="O156" s="2" t="s">
        <v>1204</v>
      </c>
    </row>
    <row r="157" spans="1:19" ht="15.4" customHeight="1" x14ac:dyDescent="0.45">
      <c r="A157" s="2" t="s">
        <v>1084</v>
      </c>
      <c r="B157" s="2" t="s">
        <v>1545</v>
      </c>
      <c r="C157" s="10"/>
      <c r="E157" s="15">
        <v>6</v>
      </c>
      <c r="F157" s="2" t="s">
        <v>1556</v>
      </c>
      <c r="G157" s="5" t="s">
        <v>385</v>
      </c>
      <c r="H157" s="2" t="s">
        <v>386</v>
      </c>
      <c r="I157" s="2" t="s">
        <v>397</v>
      </c>
      <c r="J157" s="2" t="s">
        <v>398</v>
      </c>
      <c r="K157" s="2" t="s">
        <v>9</v>
      </c>
      <c r="L157" s="2" t="s">
        <v>409</v>
      </c>
      <c r="M157" s="2" t="s">
        <v>11</v>
      </c>
      <c r="N157" s="2" t="s">
        <v>1335</v>
      </c>
      <c r="O157" s="2" t="s">
        <v>1204</v>
      </c>
    </row>
    <row r="158" spans="1:19" ht="15.4" customHeight="1" x14ac:dyDescent="0.45">
      <c r="A158" s="2" t="s">
        <v>1085</v>
      </c>
      <c r="B158" s="2" t="s">
        <v>1545</v>
      </c>
      <c r="C158" s="10"/>
      <c r="E158" s="15">
        <v>7</v>
      </c>
      <c r="F158" s="2" t="s">
        <v>1556</v>
      </c>
      <c r="G158" s="5" t="s">
        <v>385</v>
      </c>
      <c r="H158" s="2" t="s">
        <v>386</v>
      </c>
      <c r="I158" s="2" t="s">
        <v>399</v>
      </c>
      <c r="J158" s="2" t="s">
        <v>400</v>
      </c>
      <c r="K158" s="2" t="s">
        <v>9</v>
      </c>
      <c r="L158" s="2" t="s">
        <v>410</v>
      </c>
      <c r="M158" s="2" t="s">
        <v>11</v>
      </c>
      <c r="N158" s="2" t="s">
        <v>1336</v>
      </c>
      <c r="O158" s="2" t="s">
        <v>1204</v>
      </c>
    </row>
    <row r="159" spans="1:19" ht="15.4" customHeight="1" x14ac:dyDescent="0.45">
      <c r="A159" s="2" t="s">
        <v>1086</v>
      </c>
      <c r="B159" s="2" t="s">
        <v>1545</v>
      </c>
      <c r="C159" s="10"/>
      <c r="E159" s="15">
        <v>8</v>
      </c>
      <c r="F159" s="2" t="s">
        <v>1556</v>
      </c>
      <c r="G159" s="5" t="s">
        <v>385</v>
      </c>
      <c r="H159" s="2" t="s">
        <v>386</v>
      </c>
      <c r="I159" s="2" t="s">
        <v>401</v>
      </c>
      <c r="J159" s="7" t="s">
        <v>402</v>
      </c>
      <c r="K159" s="2" t="s">
        <v>9</v>
      </c>
      <c r="L159" s="7" t="s">
        <v>403</v>
      </c>
      <c r="M159" s="2" t="s">
        <v>11</v>
      </c>
      <c r="N159" s="2" t="s">
        <v>1337</v>
      </c>
      <c r="O159" s="2" t="s">
        <v>1204</v>
      </c>
    </row>
    <row r="160" spans="1:19" ht="15.4" customHeight="1" x14ac:dyDescent="0.45">
      <c r="A160" s="2" t="s">
        <v>1546</v>
      </c>
      <c r="B160" s="2" t="s">
        <v>1545</v>
      </c>
      <c r="C160" s="10" t="s">
        <v>1584</v>
      </c>
      <c r="E160" s="15"/>
      <c r="G160" s="5" t="s">
        <v>1530</v>
      </c>
      <c r="J160" s="2" t="s">
        <v>1536</v>
      </c>
      <c r="O160" s="2"/>
    </row>
    <row r="161" spans="1:19" ht="15.4" customHeight="1" x14ac:dyDescent="0.45">
      <c r="A161" s="2" t="s">
        <v>1087</v>
      </c>
      <c r="B161" s="2" t="s">
        <v>1545</v>
      </c>
      <c r="C161" s="10"/>
      <c r="D161" s="2" t="s">
        <v>1518</v>
      </c>
      <c r="E161" s="15">
        <v>1</v>
      </c>
      <c r="F161" s="2" t="s">
        <v>1557</v>
      </c>
      <c r="G161" s="5" t="s">
        <v>411</v>
      </c>
      <c r="H161" s="3" t="s">
        <v>80</v>
      </c>
      <c r="I161" s="3" t="s">
        <v>914</v>
      </c>
      <c r="J161" s="3" t="s">
        <v>412</v>
      </c>
      <c r="K161" s="3" t="s">
        <v>9</v>
      </c>
      <c r="L161" s="3" t="s">
        <v>451</v>
      </c>
      <c r="M161" s="3" t="s">
        <v>11</v>
      </c>
      <c r="N161" s="2" t="s">
        <v>1338</v>
      </c>
      <c r="O161" s="2" t="s">
        <v>1204</v>
      </c>
      <c r="P161" s="2">
        <v>40</v>
      </c>
      <c r="Q161" s="3">
        <v>1</v>
      </c>
      <c r="R161" s="3" t="s">
        <v>841</v>
      </c>
      <c r="S161" s="2" t="s">
        <v>855</v>
      </c>
    </row>
    <row r="162" spans="1:19" ht="15.4" customHeight="1" x14ac:dyDescent="0.45">
      <c r="A162" s="2" t="s">
        <v>1088</v>
      </c>
      <c r="B162" s="2" t="s">
        <v>1545</v>
      </c>
      <c r="C162" s="10"/>
      <c r="D162" s="2" t="s">
        <v>1518</v>
      </c>
      <c r="E162" s="15">
        <v>2</v>
      </c>
      <c r="F162" s="2" t="s">
        <v>1557</v>
      </c>
      <c r="G162" s="5" t="s">
        <v>411</v>
      </c>
      <c r="H162" s="3" t="s">
        <v>80</v>
      </c>
      <c r="I162" s="3" t="s">
        <v>915</v>
      </c>
      <c r="J162" s="3" t="s">
        <v>413</v>
      </c>
      <c r="K162" s="3" t="s">
        <v>9</v>
      </c>
      <c r="L162" s="2" t="s">
        <v>452</v>
      </c>
      <c r="M162" s="2" t="s">
        <v>11</v>
      </c>
      <c r="N162" s="2" t="s">
        <v>1339</v>
      </c>
      <c r="O162" s="2" t="s">
        <v>1204</v>
      </c>
      <c r="P162" s="2">
        <v>40</v>
      </c>
      <c r="Q162" s="3">
        <v>1</v>
      </c>
      <c r="R162" s="3" t="s">
        <v>841</v>
      </c>
      <c r="S162" s="2" t="s">
        <v>855</v>
      </c>
    </row>
    <row r="163" spans="1:19" ht="15.4" customHeight="1" x14ac:dyDescent="0.45">
      <c r="A163" s="2" t="s">
        <v>1089</v>
      </c>
      <c r="B163" s="2" t="s">
        <v>1545</v>
      </c>
      <c r="C163" s="10"/>
      <c r="D163" s="2" t="s">
        <v>1518</v>
      </c>
      <c r="E163" s="15">
        <v>3</v>
      </c>
      <c r="F163" s="2" t="s">
        <v>1557</v>
      </c>
      <c r="G163" s="5" t="s">
        <v>411</v>
      </c>
      <c r="H163" s="3" t="s">
        <v>80</v>
      </c>
      <c r="I163" s="2" t="s">
        <v>916</v>
      </c>
      <c r="J163" s="2" t="s">
        <v>414</v>
      </c>
      <c r="K163" s="2" t="s">
        <v>9</v>
      </c>
      <c r="L163" s="2" t="s">
        <v>453</v>
      </c>
      <c r="M163" s="2" t="s">
        <v>11</v>
      </c>
      <c r="N163" s="2" t="s">
        <v>1340</v>
      </c>
      <c r="O163" s="2" t="s">
        <v>1204</v>
      </c>
      <c r="P163" s="2">
        <v>40</v>
      </c>
      <c r="Q163" s="3">
        <v>1</v>
      </c>
      <c r="R163" s="3" t="s">
        <v>841</v>
      </c>
      <c r="S163" s="2" t="s">
        <v>855</v>
      </c>
    </row>
    <row r="164" spans="1:19" ht="15.4" customHeight="1" x14ac:dyDescent="0.45">
      <c r="A164" s="2" t="s">
        <v>1090</v>
      </c>
      <c r="B164" s="2" t="s">
        <v>1545</v>
      </c>
      <c r="C164" s="10"/>
      <c r="D164" s="2" t="s">
        <v>1518</v>
      </c>
      <c r="E164" s="15">
        <v>4</v>
      </c>
      <c r="F164" s="2" t="s">
        <v>1557</v>
      </c>
      <c r="G164" s="5" t="s">
        <v>411</v>
      </c>
      <c r="H164" s="3" t="s">
        <v>80</v>
      </c>
      <c r="I164" s="2" t="s">
        <v>917</v>
      </c>
      <c r="J164" s="2" t="s">
        <v>415</v>
      </c>
      <c r="K164" s="2" t="s">
        <v>9</v>
      </c>
      <c r="L164" s="2" t="s">
        <v>454</v>
      </c>
      <c r="M164" s="2" t="s">
        <v>11</v>
      </c>
      <c r="N164" s="2" t="s">
        <v>1341</v>
      </c>
      <c r="O164" s="2" t="s">
        <v>1204</v>
      </c>
      <c r="P164" s="2">
        <v>40</v>
      </c>
      <c r="Q164" s="3">
        <v>1</v>
      </c>
      <c r="R164" s="3" t="s">
        <v>841</v>
      </c>
      <c r="S164" s="2" t="s">
        <v>855</v>
      </c>
    </row>
    <row r="165" spans="1:19" ht="15.4" customHeight="1" x14ac:dyDescent="0.45">
      <c r="A165" s="2" t="s">
        <v>1091</v>
      </c>
      <c r="B165" s="2" t="s">
        <v>1545</v>
      </c>
      <c r="C165" s="10"/>
      <c r="D165" s="2" t="s">
        <v>1518</v>
      </c>
      <c r="E165" s="15">
        <v>5</v>
      </c>
      <c r="F165" s="2" t="s">
        <v>1557</v>
      </c>
      <c r="G165" s="5" t="s">
        <v>411</v>
      </c>
      <c r="H165" s="3" t="s">
        <v>80</v>
      </c>
      <c r="I165" s="2" t="s">
        <v>918</v>
      </c>
      <c r="J165" s="7" t="s">
        <v>919</v>
      </c>
      <c r="K165" s="2" t="s">
        <v>9</v>
      </c>
      <c r="L165" s="7"/>
      <c r="N165" s="2" t="s">
        <v>1342</v>
      </c>
      <c r="O165" s="2" t="s">
        <v>1204</v>
      </c>
      <c r="P165" s="2" t="s">
        <v>829</v>
      </c>
    </row>
    <row r="166" spans="1:19" ht="15.4" customHeight="1" x14ac:dyDescent="0.45">
      <c r="A166" s="2" t="s">
        <v>1092</v>
      </c>
      <c r="B166" s="2" t="s">
        <v>1545</v>
      </c>
      <c r="C166" s="10"/>
      <c r="D166" s="2" t="s">
        <v>1518</v>
      </c>
      <c r="E166" s="15">
        <v>6</v>
      </c>
      <c r="F166" s="2" t="s">
        <v>1557</v>
      </c>
      <c r="G166" s="5" t="s">
        <v>411</v>
      </c>
      <c r="H166" s="3" t="s">
        <v>80</v>
      </c>
      <c r="I166" s="2" t="s">
        <v>920</v>
      </c>
      <c r="J166" s="2" t="s">
        <v>416</v>
      </c>
      <c r="K166" s="2" t="s">
        <v>9</v>
      </c>
      <c r="L166" s="2" t="s">
        <v>455</v>
      </c>
      <c r="M166" s="2" t="s">
        <v>11</v>
      </c>
      <c r="N166" s="2" t="s">
        <v>1343</v>
      </c>
      <c r="O166" s="2" t="s">
        <v>1204</v>
      </c>
      <c r="P166" s="2" t="s">
        <v>828</v>
      </c>
    </row>
    <row r="167" spans="1:19" ht="15.4" customHeight="1" x14ac:dyDescent="0.45">
      <c r="A167" s="2" t="s">
        <v>1093</v>
      </c>
      <c r="B167" s="2" t="s">
        <v>1545</v>
      </c>
      <c r="C167" s="10"/>
      <c r="D167" s="2" t="s">
        <v>1518</v>
      </c>
      <c r="E167" s="15">
        <v>7</v>
      </c>
      <c r="F167" s="2" t="s">
        <v>1557</v>
      </c>
      <c r="G167" s="5" t="s">
        <v>411</v>
      </c>
      <c r="H167" s="3" t="s">
        <v>80</v>
      </c>
      <c r="I167" s="2" t="s">
        <v>921</v>
      </c>
      <c r="J167" s="2" t="s">
        <v>417</v>
      </c>
      <c r="K167" s="2" t="s">
        <v>9</v>
      </c>
      <c r="L167" s="2" t="s">
        <v>456</v>
      </c>
      <c r="M167" s="2" t="s">
        <v>11</v>
      </c>
      <c r="N167" s="2" t="s">
        <v>1344</v>
      </c>
      <c r="O167" s="2" t="s">
        <v>1204</v>
      </c>
      <c r="P167" s="2">
        <v>40</v>
      </c>
      <c r="Q167" s="3">
        <v>1</v>
      </c>
      <c r="R167" s="3" t="s">
        <v>841</v>
      </c>
      <c r="S167" s="2" t="s">
        <v>855</v>
      </c>
    </row>
    <row r="168" spans="1:19" ht="15.4" customHeight="1" x14ac:dyDescent="0.45">
      <c r="A168" s="2" t="s">
        <v>1094</v>
      </c>
      <c r="B168" s="2" t="s">
        <v>1545</v>
      </c>
      <c r="C168" s="10"/>
      <c r="D168" s="2" t="s">
        <v>1518</v>
      </c>
      <c r="E168" s="15">
        <v>8</v>
      </c>
      <c r="F168" s="2" t="s">
        <v>1557</v>
      </c>
      <c r="G168" s="5" t="s">
        <v>411</v>
      </c>
      <c r="H168" s="3" t="s">
        <v>80</v>
      </c>
      <c r="I168" s="2" t="s">
        <v>418</v>
      </c>
      <c r="J168" s="2" t="s">
        <v>419</v>
      </c>
      <c r="K168" s="2" t="s">
        <v>9</v>
      </c>
      <c r="L168" s="2" t="s">
        <v>457</v>
      </c>
      <c r="M168" s="2" t="s">
        <v>11</v>
      </c>
      <c r="N168" s="2" t="s">
        <v>1345</v>
      </c>
      <c r="O168" s="2" t="s">
        <v>1204</v>
      </c>
      <c r="P168" s="2">
        <v>40</v>
      </c>
      <c r="Q168" s="3">
        <v>1</v>
      </c>
      <c r="R168" s="3" t="s">
        <v>841</v>
      </c>
      <c r="S168" s="2" t="s">
        <v>855</v>
      </c>
    </row>
    <row r="169" spans="1:19" ht="15.4" customHeight="1" x14ac:dyDescent="0.45">
      <c r="A169" s="2" t="s">
        <v>1095</v>
      </c>
      <c r="B169" s="2" t="s">
        <v>1545</v>
      </c>
      <c r="C169" s="10"/>
      <c r="D169" s="2" t="s">
        <v>1518</v>
      </c>
      <c r="E169" s="15">
        <v>9</v>
      </c>
      <c r="F169" s="2" t="s">
        <v>1557</v>
      </c>
      <c r="G169" s="5" t="s">
        <v>411</v>
      </c>
      <c r="H169" s="3" t="s">
        <v>80</v>
      </c>
      <c r="I169" s="2" t="s">
        <v>747</v>
      </c>
      <c r="J169" s="2" t="s">
        <v>420</v>
      </c>
      <c r="K169" s="2" t="s">
        <v>9</v>
      </c>
      <c r="L169" s="2" t="s">
        <v>458</v>
      </c>
      <c r="M169" s="2" t="s">
        <v>11</v>
      </c>
      <c r="N169" s="2" t="s">
        <v>1346</v>
      </c>
      <c r="O169" s="2" t="s">
        <v>1204</v>
      </c>
      <c r="P169" s="2">
        <v>40</v>
      </c>
      <c r="Q169" s="3">
        <v>1</v>
      </c>
      <c r="R169" s="3" t="s">
        <v>841</v>
      </c>
      <c r="S169" s="2" t="s">
        <v>855</v>
      </c>
    </row>
    <row r="170" spans="1:19" ht="15.4" customHeight="1" x14ac:dyDescent="0.45">
      <c r="A170" s="2" t="s">
        <v>1096</v>
      </c>
      <c r="B170" s="2" t="s">
        <v>1545</v>
      </c>
      <c r="C170" s="10"/>
      <c r="D170" s="2" t="s">
        <v>1518</v>
      </c>
      <c r="E170" s="15">
        <v>10</v>
      </c>
      <c r="F170" s="2" t="s">
        <v>1557</v>
      </c>
      <c r="G170" s="5" t="s">
        <v>411</v>
      </c>
      <c r="H170" s="3" t="s">
        <v>80</v>
      </c>
      <c r="I170" s="2" t="s">
        <v>922</v>
      </c>
      <c r="J170" s="2" t="s">
        <v>421</v>
      </c>
      <c r="K170" s="2" t="s">
        <v>9</v>
      </c>
      <c r="L170" s="2" t="s">
        <v>459</v>
      </c>
      <c r="M170" s="2" t="s">
        <v>11</v>
      </c>
      <c r="N170" s="2" t="s">
        <v>1347</v>
      </c>
      <c r="O170" s="2" t="s">
        <v>1204</v>
      </c>
      <c r="P170" s="2">
        <v>40</v>
      </c>
      <c r="Q170" s="3">
        <v>1</v>
      </c>
      <c r="R170" s="3" t="s">
        <v>841</v>
      </c>
      <c r="S170" s="2" t="s">
        <v>855</v>
      </c>
    </row>
    <row r="171" spans="1:19" ht="15.4" customHeight="1" x14ac:dyDescent="0.45">
      <c r="A171" s="2" t="s">
        <v>1097</v>
      </c>
      <c r="B171" s="2" t="s">
        <v>1545</v>
      </c>
      <c r="C171" s="10"/>
      <c r="D171" s="2" t="s">
        <v>1518</v>
      </c>
      <c r="E171" s="15">
        <v>11</v>
      </c>
      <c r="F171" s="2" t="s">
        <v>1557</v>
      </c>
      <c r="G171" s="5" t="s">
        <v>411</v>
      </c>
      <c r="H171" s="3" t="s">
        <v>80</v>
      </c>
      <c r="I171" s="2" t="s">
        <v>73</v>
      </c>
      <c r="J171" s="2" t="s">
        <v>422</v>
      </c>
      <c r="K171" s="2" t="s">
        <v>9</v>
      </c>
      <c r="L171" s="2" t="s">
        <v>460</v>
      </c>
      <c r="M171" s="2" t="s">
        <v>11</v>
      </c>
      <c r="N171" s="2" t="s">
        <v>1348</v>
      </c>
      <c r="O171" s="2" t="s">
        <v>1204</v>
      </c>
      <c r="P171" s="2">
        <v>40</v>
      </c>
      <c r="Q171" s="3">
        <v>1</v>
      </c>
      <c r="R171" s="3" t="s">
        <v>841</v>
      </c>
      <c r="S171" s="2" t="s">
        <v>855</v>
      </c>
    </row>
    <row r="172" spans="1:19" ht="15.4" customHeight="1" x14ac:dyDescent="0.45">
      <c r="A172" s="2" t="s">
        <v>1098</v>
      </c>
      <c r="B172" s="2" t="s">
        <v>1545</v>
      </c>
      <c r="C172" s="10"/>
      <c r="D172" s="2" t="s">
        <v>1518</v>
      </c>
      <c r="E172" s="15">
        <v>12</v>
      </c>
      <c r="F172" s="2" t="s">
        <v>1557</v>
      </c>
      <c r="G172" s="5" t="s">
        <v>411</v>
      </c>
      <c r="H172" s="2" t="s">
        <v>423</v>
      </c>
      <c r="I172" s="2" t="s">
        <v>73</v>
      </c>
      <c r="J172" s="2" t="s">
        <v>424</v>
      </c>
      <c r="K172" s="2" t="s">
        <v>9</v>
      </c>
      <c r="L172" s="2" t="s">
        <v>461</v>
      </c>
      <c r="M172" s="2" t="s">
        <v>11</v>
      </c>
      <c r="N172" s="2" t="s">
        <v>1349</v>
      </c>
      <c r="O172" s="2" t="s">
        <v>1204</v>
      </c>
      <c r="P172" s="2">
        <v>40</v>
      </c>
      <c r="Q172" s="3">
        <v>1</v>
      </c>
      <c r="R172" s="3" t="s">
        <v>841</v>
      </c>
      <c r="S172" s="2" t="s">
        <v>855</v>
      </c>
    </row>
    <row r="173" spans="1:19" ht="15.4" customHeight="1" x14ac:dyDescent="0.45">
      <c r="A173" s="2" t="s">
        <v>1099</v>
      </c>
      <c r="B173" s="2" t="s">
        <v>1545</v>
      </c>
      <c r="C173" s="10"/>
      <c r="D173" s="2" t="s">
        <v>1518</v>
      </c>
      <c r="E173" s="15">
        <v>13</v>
      </c>
      <c r="F173" s="2" t="s">
        <v>1557</v>
      </c>
      <c r="G173" s="5" t="s">
        <v>411</v>
      </c>
      <c r="H173" s="2" t="s">
        <v>423</v>
      </c>
      <c r="I173" s="2" t="s">
        <v>923</v>
      </c>
      <c r="J173" s="2" t="s">
        <v>425</v>
      </c>
      <c r="K173" s="2" t="s">
        <v>9</v>
      </c>
      <c r="L173" s="2" t="s">
        <v>426</v>
      </c>
      <c r="M173" s="2" t="s">
        <v>11</v>
      </c>
      <c r="N173" s="2" t="s">
        <v>1350</v>
      </c>
      <c r="O173" s="2" t="s">
        <v>1204</v>
      </c>
    </row>
    <row r="174" spans="1:19" ht="15.4" customHeight="1" x14ac:dyDescent="0.45">
      <c r="A174" s="2" t="s">
        <v>1100</v>
      </c>
      <c r="B174" s="2" t="s">
        <v>1545</v>
      </c>
      <c r="C174" s="10"/>
      <c r="D174" s="2" t="s">
        <v>1518</v>
      </c>
      <c r="E174" s="15">
        <v>14</v>
      </c>
      <c r="F174" s="2" t="s">
        <v>1557</v>
      </c>
      <c r="G174" s="5" t="s">
        <v>411</v>
      </c>
      <c r="H174" s="2" t="s">
        <v>423</v>
      </c>
      <c r="I174" s="2" t="s">
        <v>923</v>
      </c>
      <c r="J174" s="2" t="s">
        <v>462</v>
      </c>
      <c r="K174" s="2" t="s">
        <v>9</v>
      </c>
      <c r="L174" s="2" t="s">
        <v>463</v>
      </c>
      <c r="M174" s="2" t="s">
        <v>11</v>
      </c>
      <c r="N174" s="2" t="s">
        <v>1351</v>
      </c>
      <c r="O174" s="2" t="s">
        <v>1204</v>
      </c>
      <c r="P174" s="2">
        <v>40</v>
      </c>
      <c r="Q174" s="3">
        <v>1</v>
      </c>
      <c r="R174" s="3" t="s">
        <v>841</v>
      </c>
      <c r="S174" s="2" t="s">
        <v>855</v>
      </c>
    </row>
    <row r="175" spans="1:19" ht="15.4" customHeight="1" x14ac:dyDescent="0.45">
      <c r="A175" s="2" t="s">
        <v>1101</v>
      </c>
      <c r="B175" s="2" t="s">
        <v>1545</v>
      </c>
      <c r="C175" s="10"/>
      <c r="D175" s="2" t="s">
        <v>1518</v>
      </c>
      <c r="E175" s="15">
        <v>15</v>
      </c>
      <c r="F175" s="2" t="s">
        <v>1557</v>
      </c>
      <c r="G175" s="5" t="s">
        <v>411</v>
      </c>
      <c r="H175" s="2" t="s">
        <v>423</v>
      </c>
      <c r="I175" s="2" t="s">
        <v>527</v>
      </c>
      <c r="J175" s="2" t="s">
        <v>427</v>
      </c>
      <c r="K175" s="2" t="s">
        <v>9</v>
      </c>
      <c r="L175" s="2" t="s">
        <v>464</v>
      </c>
      <c r="M175" s="2" t="s">
        <v>11</v>
      </c>
      <c r="N175" s="2" t="s">
        <v>1352</v>
      </c>
      <c r="O175" s="2" t="s">
        <v>1204</v>
      </c>
      <c r="P175" s="2">
        <v>40</v>
      </c>
      <c r="Q175" s="3">
        <v>1</v>
      </c>
      <c r="R175" s="3" t="s">
        <v>841</v>
      </c>
      <c r="S175" s="2" t="s">
        <v>855</v>
      </c>
    </row>
    <row r="176" spans="1:19" ht="15.4" customHeight="1" x14ac:dyDescent="0.45">
      <c r="A176" s="2" t="s">
        <v>1102</v>
      </c>
      <c r="B176" s="2" t="s">
        <v>1545</v>
      </c>
      <c r="C176" s="10"/>
      <c r="D176" s="2" t="s">
        <v>1518</v>
      </c>
      <c r="E176" s="15">
        <v>16</v>
      </c>
      <c r="F176" s="2" t="s">
        <v>1557</v>
      </c>
      <c r="G176" s="5" t="s">
        <v>411</v>
      </c>
      <c r="H176" s="2" t="s">
        <v>423</v>
      </c>
      <c r="I176" s="2" t="s">
        <v>924</v>
      </c>
      <c r="J176" s="2" t="s">
        <v>428</v>
      </c>
      <c r="K176" s="2" t="s">
        <v>9</v>
      </c>
      <c r="L176" s="2" t="s">
        <v>465</v>
      </c>
      <c r="M176" s="2" t="s">
        <v>11</v>
      </c>
      <c r="N176" s="2" t="s">
        <v>1353</v>
      </c>
      <c r="O176" s="2" t="s">
        <v>1204</v>
      </c>
      <c r="P176" s="2">
        <v>40</v>
      </c>
      <c r="Q176" s="3">
        <v>1</v>
      </c>
      <c r="R176" s="3" t="s">
        <v>841</v>
      </c>
      <c r="S176" s="2" t="s">
        <v>855</v>
      </c>
    </row>
    <row r="177" spans="1:19" ht="15.4" customHeight="1" x14ac:dyDescent="0.45">
      <c r="A177" s="2" t="s">
        <v>1103</v>
      </c>
      <c r="B177" s="2" t="s">
        <v>1545</v>
      </c>
      <c r="C177" s="10"/>
      <c r="D177" s="2" t="s">
        <v>1518</v>
      </c>
      <c r="E177" s="15">
        <v>17</v>
      </c>
      <c r="F177" s="2" t="s">
        <v>1557</v>
      </c>
      <c r="G177" s="5" t="s">
        <v>411</v>
      </c>
      <c r="H177" s="2" t="s">
        <v>423</v>
      </c>
      <c r="I177" s="2" t="s">
        <v>925</v>
      </c>
      <c r="J177" s="2" t="s">
        <v>429</v>
      </c>
      <c r="K177" s="2" t="s">
        <v>9</v>
      </c>
      <c r="L177" s="2" t="s">
        <v>466</v>
      </c>
      <c r="M177" s="2" t="s">
        <v>11</v>
      </c>
      <c r="N177" s="2" t="s">
        <v>1354</v>
      </c>
      <c r="O177" s="2" t="s">
        <v>1204</v>
      </c>
      <c r="P177" s="2">
        <v>40</v>
      </c>
      <c r="Q177" s="3">
        <v>1</v>
      </c>
      <c r="R177" s="3" t="s">
        <v>841</v>
      </c>
      <c r="S177" s="2" t="s">
        <v>855</v>
      </c>
    </row>
    <row r="178" spans="1:19" ht="15.4" customHeight="1" x14ac:dyDescent="0.45">
      <c r="A178" s="2" t="s">
        <v>1104</v>
      </c>
      <c r="B178" s="2" t="s">
        <v>1545</v>
      </c>
      <c r="C178" s="10"/>
      <c r="D178" s="2" t="s">
        <v>1518</v>
      </c>
      <c r="E178" s="15">
        <v>18</v>
      </c>
      <c r="F178" s="2" t="s">
        <v>1557</v>
      </c>
      <c r="G178" s="5" t="s">
        <v>411</v>
      </c>
      <c r="H178" s="2" t="s">
        <v>423</v>
      </c>
      <c r="I178" s="2" t="s">
        <v>492</v>
      </c>
      <c r="J178" s="2" t="s">
        <v>430</v>
      </c>
      <c r="K178" s="2" t="s">
        <v>9</v>
      </c>
      <c r="L178" s="2" t="s">
        <v>467</v>
      </c>
      <c r="M178" s="2" t="s">
        <v>11</v>
      </c>
      <c r="N178" s="2" t="s">
        <v>1355</v>
      </c>
      <c r="O178" s="2" t="s">
        <v>1204</v>
      </c>
      <c r="P178" s="2">
        <v>40</v>
      </c>
      <c r="Q178" s="3">
        <v>1</v>
      </c>
      <c r="R178" s="3" t="s">
        <v>841</v>
      </c>
      <c r="S178" s="2" t="s">
        <v>855</v>
      </c>
    </row>
    <row r="179" spans="1:19" ht="15.4" customHeight="1" x14ac:dyDescent="0.45">
      <c r="A179" s="2" t="s">
        <v>1105</v>
      </c>
      <c r="B179" s="2" t="s">
        <v>1545</v>
      </c>
      <c r="C179" s="10"/>
      <c r="D179" s="2" t="s">
        <v>1518</v>
      </c>
      <c r="E179" s="15">
        <v>19</v>
      </c>
      <c r="F179" s="2" t="s">
        <v>1557</v>
      </c>
      <c r="G179" s="5" t="s">
        <v>411</v>
      </c>
      <c r="H179" s="2" t="s">
        <v>423</v>
      </c>
      <c r="I179" s="2" t="s">
        <v>926</v>
      </c>
      <c r="J179" s="2" t="s">
        <v>431</v>
      </c>
      <c r="K179" s="2" t="s">
        <v>9</v>
      </c>
      <c r="L179" s="2" t="s">
        <v>468</v>
      </c>
      <c r="M179" s="2" t="s">
        <v>11</v>
      </c>
      <c r="N179" s="2" t="s">
        <v>1356</v>
      </c>
      <c r="O179" s="2" t="s">
        <v>1204</v>
      </c>
      <c r="P179" s="2">
        <v>40</v>
      </c>
      <c r="Q179" s="3">
        <v>1</v>
      </c>
      <c r="R179" s="3" t="s">
        <v>841</v>
      </c>
      <c r="S179" s="2" t="s">
        <v>855</v>
      </c>
    </row>
    <row r="180" spans="1:19" ht="15.4" customHeight="1" x14ac:dyDescent="0.45">
      <c r="A180" s="2" t="s">
        <v>1106</v>
      </c>
      <c r="B180" s="2" t="s">
        <v>1545</v>
      </c>
      <c r="C180" s="10"/>
      <c r="D180" s="2" t="s">
        <v>1518</v>
      </c>
      <c r="E180" s="15">
        <v>20</v>
      </c>
      <c r="F180" s="2" t="s">
        <v>1557</v>
      </c>
      <c r="G180" s="5" t="s">
        <v>411</v>
      </c>
      <c r="H180" s="2" t="s">
        <v>423</v>
      </c>
      <c r="I180" s="2" t="s">
        <v>927</v>
      </c>
      <c r="J180" s="2" t="s">
        <v>432</v>
      </c>
      <c r="K180" s="2" t="s">
        <v>9</v>
      </c>
      <c r="L180" s="2" t="s">
        <v>469</v>
      </c>
      <c r="M180" s="2" t="s">
        <v>11</v>
      </c>
      <c r="N180" s="2" t="s">
        <v>1357</v>
      </c>
      <c r="O180" s="2" t="s">
        <v>1204</v>
      </c>
      <c r="P180" s="2" t="s">
        <v>828</v>
      </c>
    </row>
    <row r="181" spans="1:19" ht="15.4" customHeight="1" x14ac:dyDescent="0.45">
      <c r="A181" s="2" t="s">
        <v>1107</v>
      </c>
      <c r="B181" s="2" t="s">
        <v>1545</v>
      </c>
      <c r="C181" s="10"/>
      <c r="D181" s="2" t="s">
        <v>1518</v>
      </c>
      <c r="E181" s="15">
        <v>21</v>
      </c>
      <c r="F181" s="2" t="s">
        <v>1557</v>
      </c>
      <c r="G181" s="5" t="s">
        <v>411</v>
      </c>
      <c r="H181" s="2" t="s">
        <v>423</v>
      </c>
      <c r="I181" s="2" t="s">
        <v>928</v>
      </c>
      <c r="J181" s="2" t="s">
        <v>433</v>
      </c>
      <c r="K181" s="2" t="s">
        <v>9</v>
      </c>
      <c r="L181" s="2" t="s">
        <v>470</v>
      </c>
      <c r="M181" s="2" t="s">
        <v>11</v>
      </c>
      <c r="N181" s="2" t="s">
        <v>1358</v>
      </c>
      <c r="O181" s="2" t="s">
        <v>1204</v>
      </c>
      <c r="P181" s="2">
        <v>40</v>
      </c>
      <c r="Q181" s="3">
        <v>1</v>
      </c>
      <c r="R181" s="3" t="s">
        <v>841</v>
      </c>
      <c r="S181" s="2" t="s">
        <v>855</v>
      </c>
    </row>
    <row r="182" spans="1:19" ht="15.4" customHeight="1" x14ac:dyDescent="0.45">
      <c r="A182" s="2" t="s">
        <v>1108</v>
      </c>
      <c r="B182" s="2" t="s">
        <v>1545</v>
      </c>
      <c r="C182" s="10"/>
      <c r="D182" s="2" t="s">
        <v>1518</v>
      </c>
      <c r="E182" s="15">
        <v>22</v>
      </c>
      <c r="F182" s="2" t="s">
        <v>1557</v>
      </c>
      <c r="G182" s="5" t="s">
        <v>411</v>
      </c>
      <c r="H182" s="2" t="s">
        <v>423</v>
      </c>
      <c r="I182" s="2" t="s">
        <v>929</v>
      </c>
      <c r="J182" s="2" t="s">
        <v>434</v>
      </c>
      <c r="K182" s="2" t="s">
        <v>9</v>
      </c>
      <c r="L182" s="2" t="s">
        <v>471</v>
      </c>
      <c r="M182" s="2" t="s">
        <v>11</v>
      </c>
      <c r="N182" s="2" t="s">
        <v>1359</v>
      </c>
      <c r="O182" s="2" t="s">
        <v>1204</v>
      </c>
      <c r="P182" s="2">
        <v>40</v>
      </c>
      <c r="Q182" s="3">
        <v>1</v>
      </c>
      <c r="R182" s="3" t="s">
        <v>841</v>
      </c>
      <c r="S182" s="2" t="s">
        <v>855</v>
      </c>
    </row>
    <row r="183" spans="1:19" ht="15.4" customHeight="1" x14ac:dyDescent="0.45">
      <c r="A183" s="2" t="s">
        <v>1109</v>
      </c>
      <c r="B183" s="2" t="s">
        <v>1545</v>
      </c>
      <c r="C183" s="10"/>
      <c r="D183" s="2" t="s">
        <v>1518</v>
      </c>
      <c r="E183" s="15">
        <v>23</v>
      </c>
      <c r="F183" s="2" t="s">
        <v>1557</v>
      </c>
      <c r="G183" s="5" t="s">
        <v>411</v>
      </c>
      <c r="H183" s="2" t="s">
        <v>423</v>
      </c>
      <c r="I183" s="2" t="s">
        <v>930</v>
      </c>
      <c r="J183" s="2" t="s">
        <v>435</v>
      </c>
      <c r="K183" s="2" t="s">
        <v>9</v>
      </c>
      <c r="L183" s="2" t="s">
        <v>472</v>
      </c>
      <c r="M183" s="2" t="s">
        <v>11</v>
      </c>
      <c r="N183" s="2" t="s">
        <v>1360</v>
      </c>
      <c r="O183" s="2" t="s">
        <v>1204</v>
      </c>
      <c r="P183" s="2">
        <v>40</v>
      </c>
      <c r="Q183" s="3">
        <v>1</v>
      </c>
      <c r="R183" s="3" t="s">
        <v>841</v>
      </c>
      <c r="S183" s="2" t="s">
        <v>855</v>
      </c>
    </row>
    <row r="184" spans="1:19" ht="15.4" customHeight="1" x14ac:dyDescent="0.45">
      <c r="A184" s="2" t="s">
        <v>1110</v>
      </c>
      <c r="B184" s="2" t="s">
        <v>1545</v>
      </c>
      <c r="C184" s="10"/>
      <c r="D184" s="2" t="s">
        <v>1518</v>
      </c>
      <c r="E184" s="15">
        <v>24</v>
      </c>
      <c r="F184" s="2" t="s">
        <v>1557</v>
      </c>
      <c r="G184" s="5" t="s">
        <v>411</v>
      </c>
      <c r="H184" s="2" t="s">
        <v>423</v>
      </c>
      <c r="I184" s="2" t="s">
        <v>931</v>
      </c>
      <c r="J184" s="2" t="s">
        <v>436</v>
      </c>
      <c r="K184" s="2" t="s">
        <v>9</v>
      </c>
      <c r="L184" s="2" t="s">
        <v>473</v>
      </c>
      <c r="M184" s="2" t="s">
        <v>11</v>
      </c>
      <c r="N184" s="2" t="s">
        <v>1361</v>
      </c>
      <c r="O184" s="2" t="s">
        <v>1204</v>
      </c>
      <c r="P184" s="2">
        <v>40</v>
      </c>
      <c r="Q184" s="3">
        <v>1</v>
      </c>
      <c r="R184" s="3" t="s">
        <v>841</v>
      </c>
      <c r="S184" s="2" t="s">
        <v>855</v>
      </c>
    </row>
    <row r="185" spans="1:19" ht="15.4" customHeight="1" x14ac:dyDescent="0.45">
      <c r="A185" s="2" t="s">
        <v>1111</v>
      </c>
      <c r="B185" s="2" t="s">
        <v>1545</v>
      </c>
      <c r="C185" s="10"/>
      <c r="D185" s="2" t="s">
        <v>1518</v>
      </c>
      <c r="E185" s="15">
        <v>25</v>
      </c>
      <c r="F185" s="2" t="s">
        <v>1557</v>
      </c>
      <c r="G185" s="5" t="s">
        <v>411</v>
      </c>
      <c r="H185" s="2" t="s">
        <v>423</v>
      </c>
      <c r="I185" s="2" t="s">
        <v>932</v>
      </c>
      <c r="J185" s="2" t="s">
        <v>437</v>
      </c>
      <c r="K185" s="2" t="s">
        <v>9</v>
      </c>
      <c r="L185" s="2" t="s">
        <v>474</v>
      </c>
      <c r="M185" s="2" t="s">
        <v>11</v>
      </c>
      <c r="N185" s="2" t="s">
        <v>1362</v>
      </c>
      <c r="O185" s="2" t="s">
        <v>1204</v>
      </c>
      <c r="P185" s="2">
        <v>40</v>
      </c>
      <c r="Q185" s="3">
        <v>1</v>
      </c>
      <c r="R185" s="3" t="s">
        <v>841</v>
      </c>
      <c r="S185" s="2" t="s">
        <v>855</v>
      </c>
    </row>
    <row r="186" spans="1:19" ht="15.4" customHeight="1" x14ac:dyDescent="0.45">
      <c r="A186" s="2" t="s">
        <v>1112</v>
      </c>
      <c r="B186" s="2" t="s">
        <v>1545</v>
      </c>
      <c r="C186" s="10"/>
      <c r="D186" s="2" t="s">
        <v>1518</v>
      </c>
      <c r="E186" s="15">
        <v>26</v>
      </c>
      <c r="F186" s="2" t="s">
        <v>1557</v>
      </c>
      <c r="G186" s="5" t="s">
        <v>411</v>
      </c>
      <c r="H186" s="2" t="s">
        <v>423</v>
      </c>
      <c r="I186" s="2" t="s">
        <v>933</v>
      </c>
      <c r="J186" s="2" t="s">
        <v>438</v>
      </c>
      <c r="K186" s="2" t="s">
        <v>9</v>
      </c>
      <c r="L186" s="2" t="s">
        <v>475</v>
      </c>
      <c r="M186" s="2" t="s">
        <v>11</v>
      </c>
      <c r="N186" s="2" t="s">
        <v>1363</v>
      </c>
      <c r="O186" s="2" t="s">
        <v>1204</v>
      </c>
      <c r="P186" s="2" t="s">
        <v>828</v>
      </c>
    </row>
    <row r="187" spans="1:19" ht="15.4" customHeight="1" x14ac:dyDescent="0.45">
      <c r="A187" s="2" t="s">
        <v>1113</v>
      </c>
      <c r="B187" s="2" t="s">
        <v>1545</v>
      </c>
      <c r="C187" s="10"/>
      <c r="D187" s="2" t="s">
        <v>1518</v>
      </c>
      <c r="E187" s="15">
        <v>27</v>
      </c>
      <c r="F187" s="2" t="s">
        <v>1557</v>
      </c>
      <c r="G187" s="5" t="s">
        <v>411</v>
      </c>
      <c r="H187" s="2" t="s">
        <v>423</v>
      </c>
      <c r="I187" s="2" t="s">
        <v>439</v>
      </c>
      <c r="J187" s="2" t="s">
        <v>440</v>
      </c>
      <c r="K187" s="2" t="s">
        <v>9</v>
      </c>
      <c r="L187" s="2" t="s">
        <v>476</v>
      </c>
      <c r="M187" s="2" t="s">
        <v>11</v>
      </c>
      <c r="N187" s="2" t="s">
        <v>1364</v>
      </c>
      <c r="O187" s="2" t="s">
        <v>1204</v>
      </c>
    </row>
    <row r="188" spans="1:19" ht="15.4" customHeight="1" x14ac:dyDescent="0.45">
      <c r="A188" s="2" t="s">
        <v>1114</v>
      </c>
      <c r="B188" s="2" t="s">
        <v>1545</v>
      </c>
      <c r="C188" s="10"/>
      <c r="D188" s="2" t="s">
        <v>1518</v>
      </c>
      <c r="E188" s="15">
        <v>28</v>
      </c>
      <c r="F188" s="2" t="s">
        <v>1557</v>
      </c>
      <c r="G188" s="5" t="s">
        <v>411</v>
      </c>
      <c r="H188" s="2" t="s">
        <v>441</v>
      </c>
      <c r="I188" s="2" t="s">
        <v>506</v>
      </c>
      <c r="J188" s="2" t="s">
        <v>442</v>
      </c>
      <c r="K188" s="2" t="s">
        <v>9</v>
      </c>
      <c r="L188" s="2" t="s">
        <v>477</v>
      </c>
      <c r="M188" s="2" t="s">
        <v>11</v>
      </c>
      <c r="N188" s="2" t="s">
        <v>1365</v>
      </c>
      <c r="O188" s="2" t="s">
        <v>1204</v>
      </c>
      <c r="P188" s="2">
        <v>40</v>
      </c>
      <c r="Q188" s="3">
        <v>1</v>
      </c>
      <c r="R188" s="3" t="s">
        <v>841</v>
      </c>
      <c r="S188" s="2" t="s">
        <v>855</v>
      </c>
    </row>
    <row r="189" spans="1:19" ht="15.4" customHeight="1" x14ac:dyDescent="0.45">
      <c r="A189" s="2" t="s">
        <v>1115</v>
      </c>
      <c r="B189" s="2" t="s">
        <v>1545</v>
      </c>
      <c r="C189" s="10"/>
      <c r="D189" s="2" t="s">
        <v>1518</v>
      </c>
      <c r="E189" s="15">
        <v>29</v>
      </c>
      <c r="F189" s="2" t="s">
        <v>1557</v>
      </c>
      <c r="G189" s="5" t="s">
        <v>411</v>
      </c>
      <c r="H189" s="2" t="s">
        <v>441</v>
      </c>
      <c r="I189" s="2" t="s">
        <v>289</v>
      </c>
      <c r="J189" s="2" t="s">
        <v>443</v>
      </c>
      <c r="K189" s="2" t="s">
        <v>9</v>
      </c>
      <c r="L189" s="2" t="s">
        <v>478</v>
      </c>
      <c r="M189" s="2" t="s">
        <v>11</v>
      </c>
      <c r="N189" s="2" t="s">
        <v>1366</v>
      </c>
      <c r="O189" s="2" t="s">
        <v>1204</v>
      </c>
      <c r="P189" s="2">
        <v>40</v>
      </c>
      <c r="Q189" s="3">
        <v>1</v>
      </c>
      <c r="R189" s="3" t="s">
        <v>841</v>
      </c>
      <c r="S189" s="2" t="s">
        <v>855</v>
      </c>
    </row>
    <row r="190" spans="1:19" ht="15.4" customHeight="1" x14ac:dyDescent="0.45">
      <c r="A190" s="2" t="s">
        <v>1116</v>
      </c>
      <c r="B190" s="2" t="s">
        <v>1545</v>
      </c>
      <c r="C190" s="10"/>
      <c r="D190" s="2" t="s">
        <v>1518</v>
      </c>
      <c r="E190" s="15">
        <v>30</v>
      </c>
      <c r="F190" s="2" t="s">
        <v>1557</v>
      </c>
      <c r="G190" s="5" t="s">
        <v>411</v>
      </c>
      <c r="H190" s="2" t="s">
        <v>441</v>
      </c>
      <c r="I190" s="2" t="s">
        <v>492</v>
      </c>
      <c r="J190" s="2" t="s">
        <v>444</v>
      </c>
      <c r="K190" s="2" t="s">
        <v>9</v>
      </c>
      <c r="L190" s="2" t="s">
        <v>485</v>
      </c>
      <c r="M190" s="2" t="s">
        <v>11</v>
      </c>
      <c r="N190" s="2" t="s">
        <v>1367</v>
      </c>
      <c r="O190" s="2" t="s">
        <v>1204</v>
      </c>
      <c r="P190" s="2">
        <v>40</v>
      </c>
      <c r="Q190" s="3">
        <v>1</v>
      </c>
      <c r="R190" s="3" t="s">
        <v>841</v>
      </c>
      <c r="S190" s="2" t="s">
        <v>855</v>
      </c>
    </row>
    <row r="191" spans="1:19" ht="15.4" customHeight="1" x14ac:dyDescent="0.45">
      <c r="A191" s="2" t="s">
        <v>1117</v>
      </c>
      <c r="B191" s="2" t="s">
        <v>1545</v>
      </c>
      <c r="C191" s="10"/>
      <c r="D191" s="2" t="s">
        <v>1518</v>
      </c>
      <c r="E191" s="15">
        <v>31</v>
      </c>
      <c r="F191" s="2" t="s">
        <v>1557</v>
      </c>
      <c r="G191" s="5" t="s">
        <v>411</v>
      </c>
      <c r="H191" s="2" t="s">
        <v>441</v>
      </c>
      <c r="I191" s="2" t="s">
        <v>508</v>
      </c>
      <c r="J191" s="2" t="s">
        <v>445</v>
      </c>
      <c r="K191" s="2" t="s">
        <v>9</v>
      </c>
      <c r="L191" s="2" t="s">
        <v>479</v>
      </c>
      <c r="M191" s="2" t="s">
        <v>11</v>
      </c>
      <c r="N191" s="2" t="s">
        <v>1368</v>
      </c>
      <c r="O191" s="2" t="s">
        <v>1204</v>
      </c>
      <c r="P191" s="2">
        <v>40</v>
      </c>
      <c r="Q191" s="3">
        <v>1</v>
      </c>
      <c r="R191" s="3" t="s">
        <v>841</v>
      </c>
      <c r="S191" s="2" t="s">
        <v>855</v>
      </c>
    </row>
    <row r="192" spans="1:19" ht="15.4" customHeight="1" x14ac:dyDescent="0.45">
      <c r="A192" s="2" t="s">
        <v>1118</v>
      </c>
      <c r="B192" s="2" t="s">
        <v>1545</v>
      </c>
      <c r="C192" s="10"/>
      <c r="D192" s="2" t="s">
        <v>1518</v>
      </c>
      <c r="E192" s="15">
        <v>32</v>
      </c>
      <c r="F192" s="2" t="s">
        <v>1557</v>
      </c>
      <c r="G192" s="5" t="s">
        <v>411</v>
      </c>
      <c r="H192" s="2" t="s">
        <v>441</v>
      </c>
      <c r="I192" s="2" t="s">
        <v>934</v>
      </c>
      <c r="J192" s="2" t="s">
        <v>442</v>
      </c>
      <c r="K192" s="2" t="s">
        <v>9</v>
      </c>
      <c r="L192" s="2" t="s">
        <v>480</v>
      </c>
      <c r="M192" s="2" t="s">
        <v>11</v>
      </c>
      <c r="N192" s="2" t="s">
        <v>1369</v>
      </c>
      <c r="O192" s="2" t="s">
        <v>1204</v>
      </c>
      <c r="P192" s="2">
        <v>40</v>
      </c>
      <c r="Q192" s="3">
        <v>1</v>
      </c>
      <c r="R192" s="3" t="s">
        <v>841</v>
      </c>
      <c r="S192" s="2" t="s">
        <v>855</v>
      </c>
    </row>
    <row r="193" spans="1:19" ht="15.4" customHeight="1" x14ac:dyDescent="0.45">
      <c r="A193" s="2" t="s">
        <v>1119</v>
      </c>
      <c r="B193" s="2" t="s">
        <v>1545</v>
      </c>
      <c r="C193" s="10"/>
      <c r="D193" s="2" t="s">
        <v>1518</v>
      </c>
      <c r="E193" s="15">
        <v>33</v>
      </c>
      <c r="F193" s="2" t="s">
        <v>1557</v>
      </c>
      <c r="G193" s="5" t="s">
        <v>411</v>
      </c>
      <c r="H193" s="2" t="s">
        <v>441</v>
      </c>
      <c r="I193" s="2" t="s">
        <v>935</v>
      </c>
      <c r="J193" s="2" t="s">
        <v>446</v>
      </c>
      <c r="K193" s="2" t="s">
        <v>9</v>
      </c>
      <c r="L193" s="2" t="s">
        <v>481</v>
      </c>
      <c r="M193" s="2" t="s">
        <v>11</v>
      </c>
      <c r="N193" s="2" t="s">
        <v>1370</v>
      </c>
      <c r="O193" s="2" t="s">
        <v>1204</v>
      </c>
    </row>
    <row r="194" spans="1:19" ht="15.4" customHeight="1" x14ac:dyDescent="0.45">
      <c r="A194" s="2" t="s">
        <v>1120</v>
      </c>
      <c r="B194" s="2" t="s">
        <v>1545</v>
      </c>
      <c r="C194" s="10"/>
      <c r="D194" s="2" t="s">
        <v>1518</v>
      </c>
      <c r="E194" s="15">
        <v>34</v>
      </c>
      <c r="F194" s="2" t="s">
        <v>1557</v>
      </c>
      <c r="G194" s="5" t="s">
        <v>411</v>
      </c>
      <c r="H194" s="2" t="s">
        <v>441</v>
      </c>
      <c r="I194" s="2" t="s">
        <v>936</v>
      </c>
      <c r="J194" s="2" t="s">
        <v>447</v>
      </c>
      <c r="K194" s="2" t="s">
        <v>9</v>
      </c>
      <c r="L194" s="2" t="s">
        <v>482</v>
      </c>
      <c r="M194" s="2" t="s">
        <v>11</v>
      </c>
      <c r="N194" s="2" t="s">
        <v>1371</v>
      </c>
      <c r="O194" s="2" t="s">
        <v>1204</v>
      </c>
      <c r="P194" s="2">
        <v>40</v>
      </c>
      <c r="Q194" s="3">
        <v>1</v>
      </c>
      <c r="R194" s="3" t="s">
        <v>841</v>
      </c>
      <c r="S194" s="2" t="s">
        <v>855</v>
      </c>
    </row>
    <row r="195" spans="1:19" ht="15.4" customHeight="1" x14ac:dyDescent="0.45">
      <c r="A195" s="2" t="s">
        <v>1121</v>
      </c>
      <c r="B195" s="2" t="s">
        <v>1545</v>
      </c>
      <c r="C195" s="10"/>
      <c r="D195" s="2" t="s">
        <v>1518</v>
      </c>
      <c r="E195" s="15">
        <v>35</v>
      </c>
      <c r="F195" s="2" t="s">
        <v>1557</v>
      </c>
      <c r="G195" s="5" t="s">
        <v>411</v>
      </c>
      <c r="H195" s="2" t="s">
        <v>441</v>
      </c>
      <c r="I195" s="2" t="s">
        <v>937</v>
      </c>
      <c r="J195" s="2" t="s">
        <v>448</v>
      </c>
      <c r="K195" s="2" t="s">
        <v>9</v>
      </c>
      <c r="L195" s="2" t="s">
        <v>483</v>
      </c>
      <c r="M195" s="2" t="s">
        <v>11</v>
      </c>
      <c r="N195" s="2" t="s">
        <v>1372</v>
      </c>
      <c r="O195" s="2" t="s">
        <v>1204</v>
      </c>
      <c r="P195" s="2">
        <v>40</v>
      </c>
      <c r="Q195" s="3">
        <v>1</v>
      </c>
      <c r="R195" s="3" t="s">
        <v>841</v>
      </c>
      <c r="S195" s="2" t="s">
        <v>855</v>
      </c>
    </row>
    <row r="196" spans="1:19" ht="15.4" customHeight="1" x14ac:dyDescent="0.45">
      <c r="A196" s="2" t="s">
        <v>1122</v>
      </c>
      <c r="B196" s="2" t="s">
        <v>1545</v>
      </c>
      <c r="C196" s="10"/>
      <c r="D196" s="2" t="s">
        <v>1518</v>
      </c>
      <c r="E196" s="15">
        <v>36</v>
      </c>
      <c r="F196" s="2" t="s">
        <v>1557</v>
      </c>
      <c r="G196" s="5" t="s">
        <v>411</v>
      </c>
      <c r="H196" s="2" t="s">
        <v>441</v>
      </c>
      <c r="I196" s="2" t="s">
        <v>929</v>
      </c>
      <c r="J196" s="2" t="s">
        <v>449</v>
      </c>
      <c r="K196" s="2" t="s">
        <v>9</v>
      </c>
      <c r="L196" s="2" t="s">
        <v>484</v>
      </c>
      <c r="M196" s="2" t="s">
        <v>11</v>
      </c>
      <c r="N196" s="2" t="s">
        <v>1373</v>
      </c>
      <c r="O196" s="2" t="s">
        <v>1204</v>
      </c>
    </row>
    <row r="197" spans="1:19" ht="15.4" customHeight="1" x14ac:dyDescent="0.45">
      <c r="A197" s="2" t="s">
        <v>1123</v>
      </c>
      <c r="B197" s="2" t="s">
        <v>1545</v>
      </c>
      <c r="C197" s="10"/>
      <c r="D197" s="2" t="s">
        <v>1518</v>
      </c>
      <c r="E197" s="15">
        <v>37</v>
      </c>
      <c r="F197" s="2" t="s">
        <v>1557</v>
      </c>
      <c r="G197" s="5" t="s">
        <v>411</v>
      </c>
      <c r="H197" s="2" t="s">
        <v>441</v>
      </c>
      <c r="I197" s="2" t="s">
        <v>73</v>
      </c>
      <c r="J197" s="2" t="s">
        <v>450</v>
      </c>
      <c r="K197" s="2" t="s">
        <v>9</v>
      </c>
      <c r="L197" s="2" t="s">
        <v>486</v>
      </c>
      <c r="M197" s="2" t="s">
        <v>11</v>
      </c>
      <c r="N197" s="2" t="s">
        <v>1374</v>
      </c>
      <c r="O197" s="2" t="s">
        <v>1204</v>
      </c>
      <c r="P197" s="2">
        <v>40</v>
      </c>
      <c r="Q197" s="3">
        <v>1</v>
      </c>
      <c r="R197" s="3" t="s">
        <v>841</v>
      </c>
      <c r="S197" s="2" t="s">
        <v>855</v>
      </c>
    </row>
    <row r="198" spans="1:19" ht="15.4" customHeight="1" x14ac:dyDescent="0.45">
      <c r="A198" s="2" t="s">
        <v>1543</v>
      </c>
      <c r="B198" s="2" t="s">
        <v>1545</v>
      </c>
      <c r="C198" s="10" t="s">
        <v>1584</v>
      </c>
      <c r="E198" s="15">
        <v>1</v>
      </c>
      <c r="G198" s="5" t="s">
        <v>1530</v>
      </c>
      <c r="J198" s="2" t="s">
        <v>1534</v>
      </c>
      <c r="O198" s="2"/>
    </row>
    <row r="199" spans="1:19" ht="15.4" customHeight="1" x14ac:dyDescent="0.45">
      <c r="A199" s="2" t="s">
        <v>1544</v>
      </c>
      <c r="B199" s="2" t="s">
        <v>1545</v>
      </c>
      <c r="C199" s="10" t="s">
        <v>1584</v>
      </c>
      <c r="E199" s="15">
        <v>2</v>
      </c>
      <c r="G199" s="5" t="s">
        <v>1530</v>
      </c>
      <c r="J199" s="2" t="s">
        <v>1535</v>
      </c>
      <c r="O199" s="2"/>
    </row>
    <row r="200" spans="1:19" ht="15.4" customHeight="1" x14ac:dyDescent="0.45">
      <c r="A200" s="2" t="s">
        <v>1124</v>
      </c>
      <c r="B200" s="2" t="s">
        <v>1545</v>
      </c>
      <c r="C200" s="10"/>
      <c r="D200" s="2" t="s">
        <v>1519</v>
      </c>
      <c r="E200" s="15">
        <v>3</v>
      </c>
      <c r="F200" s="2" t="s">
        <v>1558</v>
      </c>
      <c r="G200" s="5" t="s">
        <v>487</v>
      </c>
      <c r="H200" s="2" t="s">
        <v>488</v>
      </c>
      <c r="I200" s="2" t="s">
        <v>489</v>
      </c>
      <c r="J200" s="2" t="s">
        <v>490</v>
      </c>
      <c r="K200" s="2" t="s">
        <v>9</v>
      </c>
      <c r="L200" s="2" t="s">
        <v>601</v>
      </c>
      <c r="M200" s="2" t="s">
        <v>11</v>
      </c>
      <c r="N200" s="2" t="s">
        <v>1375</v>
      </c>
      <c r="O200" s="2" t="s">
        <v>1204</v>
      </c>
      <c r="P200" s="2">
        <v>40</v>
      </c>
      <c r="Q200" s="3">
        <v>1</v>
      </c>
      <c r="R200" s="3" t="s">
        <v>841</v>
      </c>
      <c r="S200" s="2" t="s">
        <v>855</v>
      </c>
    </row>
    <row r="201" spans="1:19" ht="15.4" customHeight="1" x14ac:dyDescent="0.45">
      <c r="A201" s="2" t="s">
        <v>1125</v>
      </c>
      <c r="B201" s="2" t="s">
        <v>1545</v>
      </c>
      <c r="C201" s="10"/>
      <c r="D201" s="2" t="s">
        <v>1519</v>
      </c>
      <c r="E201" s="15">
        <v>4</v>
      </c>
      <c r="F201" s="2" t="s">
        <v>1558</v>
      </c>
      <c r="G201" s="5" t="s">
        <v>487</v>
      </c>
      <c r="H201" s="2" t="s">
        <v>491</v>
      </c>
      <c r="I201" s="2" t="s">
        <v>492</v>
      </c>
      <c r="J201" s="2" t="s">
        <v>493</v>
      </c>
      <c r="K201" s="2" t="s">
        <v>9</v>
      </c>
      <c r="L201" s="2" t="s">
        <v>602</v>
      </c>
      <c r="M201" s="2" t="s">
        <v>11</v>
      </c>
      <c r="N201" s="2" t="s">
        <v>1376</v>
      </c>
      <c r="O201" s="2" t="s">
        <v>1204</v>
      </c>
      <c r="P201" s="2">
        <v>40</v>
      </c>
      <c r="Q201" s="3">
        <v>1</v>
      </c>
      <c r="R201" s="3" t="s">
        <v>841</v>
      </c>
      <c r="S201" s="2" t="s">
        <v>855</v>
      </c>
    </row>
    <row r="202" spans="1:19" ht="15.4" customHeight="1" x14ac:dyDescent="0.45">
      <c r="A202" s="2" t="s">
        <v>1126</v>
      </c>
      <c r="B202" s="2" t="s">
        <v>1545</v>
      </c>
      <c r="C202" s="10"/>
      <c r="D202" s="2" t="s">
        <v>1519</v>
      </c>
      <c r="E202" s="15">
        <v>5</v>
      </c>
      <c r="F202" s="2" t="s">
        <v>1558</v>
      </c>
      <c r="G202" s="5" t="s">
        <v>487</v>
      </c>
      <c r="H202" s="2" t="s">
        <v>491</v>
      </c>
      <c r="I202" s="2" t="s">
        <v>494</v>
      </c>
      <c r="J202" s="2" t="s">
        <v>495</v>
      </c>
      <c r="K202" s="2" t="s">
        <v>9</v>
      </c>
      <c r="L202" s="2" t="s">
        <v>603</v>
      </c>
      <c r="M202" s="2" t="s">
        <v>11</v>
      </c>
      <c r="N202" s="2" t="s">
        <v>1377</v>
      </c>
      <c r="O202" s="2" t="s">
        <v>1204</v>
      </c>
      <c r="P202" s="2">
        <v>40</v>
      </c>
      <c r="Q202" s="3">
        <v>1</v>
      </c>
      <c r="R202" s="3" t="s">
        <v>841</v>
      </c>
      <c r="S202" s="2" t="s">
        <v>855</v>
      </c>
    </row>
    <row r="203" spans="1:19" ht="15.4" customHeight="1" x14ac:dyDescent="0.45">
      <c r="A203" s="2" t="s">
        <v>1127</v>
      </c>
      <c r="B203" s="2" t="s">
        <v>1545</v>
      </c>
      <c r="C203" s="10"/>
      <c r="D203" s="2" t="s">
        <v>1519</v>
      </c>
      <c r="E203" s="15">
        <v>6</v>
      </c>
      <c r="F203" s="2" t="s">
        <v>1558</v>
      </c>
      <c r="G203" s="5" t="s">
        <v>487</v>
      </c>
      <c r="H203" s="2" t="s">
        <v>496</v>
      </c>
      <c r="I203" s="2" t="s">
        <v>497</v>
      </c>
      <c r="J203" s="2" t="s">
        <v>498</v>
      </c>
      <c r="K203" s="2" t="s">
        <v>9</v>
      </c>
      <c r="L203" s="2" t="s">
        <v>604</v>
      </c>
      <c r="M203" s="2" t="s">
        <v>11</v>
      </c>
      <c r="N203" s="2" t="s">
        <v>1378</v>
      </c>
      <c r="O203" s="2" t="s">
        <v>1204</v>
      </c>
      <c r="P203" s="2">
        <v>40</v>
      </c>
      <c r="Q203" s="3">
        <v>1</v>
      </c>
      <c r="R203" s="3" t="s">
        <v>841</v>
      </c>
      <c r="S203" s="2" t="s">
        <v>855</v>
      </c>
    </row>
    <row r="204" spans="1:19" ht="15.4" customHeight="1" x14ac:dyDescent="0.45">
      <c r="A204" s="2" t="s">
        <v>1128</v>
      </c>
      <c r="B204" s="2" t="s">
        <v>1545</v>
      </c>
      <c r="C204" s="10"/>
      <c r="D204" s="2" t="s">
        <v>1519</v>
      </c>
      <c r="E204" s="15">
        <v>7</v>
      </c>
      <c r="F204" s="2" t="s">
        <v>1558</v>
      </c>
      <c r="G204" s="5" t="s">
        <v>487</v>
      </c>
      <c r="H204" s="2" t="s">
        <v>496</v>
      </c>
      <c r="I204" s="2" t="s">
        <v>499</v>
      </c>
      <c r="J204" s="2" t="s">
        <v>500</v>
      </c>
      <c r="K204" s="2" t="s">
        <v>9</v>
      </c>
      <c r="L204" s="2" t="s">
        <v>501</v>
      </c>
      <c r="M204" s="2" t="s">
        <v>11</v>
      </c>
      <c r="N204" s="2" t="s">
        <v>1379</v>
      </c>
      <c r="O204" s="2" t="s">
        <v>1204</v>
      </c>
      <c r="P204" s="2">
        <v>40</v>
      </c>
      <c r="Q204" s="3">
        <v>1</v>
      </c>
      <c r="R204" s="3" t="s">
        <v>841</v>
      </c>
      <c r="S204" s="2" t="s">
        <v>855</v>
      </c>
    </row>
    <row r="205" spans="1:19" ht="15.4" customHeight="1" x14ac:dyDescent="0.45">
      <c r="A205" s="2" t="s">
        <v>1129</v>
      </c>
      <c r="B205" s="2" t="s">
        <v>1545</v>
      </c>
      <c r="C205" s="10"/>
      <c r="D205" s="2" t="s">
        <v>1519</v>
      </c>
      <c r="E205" s="15">
        <v>8</v>
      </c>
      <c r="F205" s="2" t="s">
        <v>1558</v>
      </c>
      <c r="G205" s="5" t="s">
        <v>487</v>
      </c>
      <c r="H205" s="2" t="s">
        <v>496</v>
      </c>
      <c r="I205" s="2" t="s">
        <v>502</v>
      </c>
      <c r="J205" s="2" t="s">
        <v>503</v>
      </c>
      <c r="K205" s="2" t="s">
        <v>9</v>
      </c>
      <c r="L205" s="2" t="s">
        <v>504</v>
      </c>
      <c r="M205" s="2" t="s">
        <v>11</v>
      </c>
      <c r="N205" s="2" t="s">
        <v>1380</v>
      </c>
      <c r="O205" s="2" t="s">
        <v>1204</v>
      </c>
      <c r="P205" s="2">
        <v>40</v>
      </c>
      <c r="Q205" s="3">
        <v>1</v>
      </c>
      <c r="R205" s="3" t="s">
        <v>841</v>
      </c>
      <c r="S205" s="2" t="s">
        <v>855</v>
      </c>
    </row>
    <row r="206" spans="1:19" ht="15.4" customHeight="1" x14ac:dyDescent="0.45">
      <c r="A206" s="2" t="s">
        <v>1130</v>
      </c>
      <c r="B206" s="2" t="s">
        <v>1545</v>
      </c>
      <c r="C206" s="10"/>
      <c r="D206" s="2" t="s">
        <v>1519</v>
      </c>
      <c r="E206" s="15">
        <v>9</v>
      </c>
      <c r="F206" s="2" t="s">
        <v>1558</v>
      </c>
      <c r="G206" s="5" t="s">
        <v>487</v>
      </c>
      <c r="H206" s="2" t="s">
        <v>505</v>
      </c>
      <c r="I206" s="2" t="s">
        <v>506</v>
      </c>
      <c r="J206" s="2" t="s">
        <v>507</v>
      </c>
      <c r="K206" s="2" t="s">
        <v>9</v>
      </c>
      <c r="L206" s="2" t="s">
        <v>605</v>
      </c>
      <c r="M206" s="2" t="s">
        <v>11</v>
      </c>
      <c r="N206" s="2" t="s">
        <v>1381</v>
      </c>
      <c r="O206" s="2" t="s">
        <v>1204</v>
      </c>
      <c r="P206" s="2">
        <v>40</v>
      </c>
      <c r="Q206" s="3">
        <v>1</v>
      </c>
      <c r="R206" s="3" t="s">
        <v>841</v>
      </c>
      <c r="S206" s="2" t="s">
        <v>855</v>
      </c>
    </row>
    <row r="207" spans="1:19" ht="15.4" customHeight="1" x14ac:dyDescent="0.45">
      <c r="A207" s="2" t="s">
        <v>1131</v>
      </c>
      <c r="B207" s="2" t="s">
        <v>1545</v>
      </c>
      <c r="C207" s="10"/>
      <c r="D207" s="2" t="s">
        <v>1519</v>
      </c>
      <c r="E207" s="15">
        <v>10</v>
      </c>
      <c r="F207" s="2" t="s">
        <v>1558</v>
      </c>
      <c r="G207" s="5" t="s">
        <v>487</v>
      </c>
      <c r="H207" s="2" t="s">
        <v>505</v>
      </c>
      <c r="I207" s="2" t="s">
        <v>508</v>
      </c>
      <c r="J207" s="2" t="s">
        <v>509</v>
      </c>
      <c r="K207" s="2" t="s">
        <v>9</v>
      </c>
      <c r="L207" s="2" t="s">
        <v>606</v>
      </c>
      <c r="M207" s="2" t="s">
        <v>11</v>
      </c>
      <c r="N207" s="2" t="s">
        <v>1382</v>
      </c>
      <c r="O207" s="2" t="s">
        <v>1204</v>
      </c>
      <c r="P207" s="2">
        <v>40</v>
      </c>
      <c r="Q207" s="3">
        <v>1</v>
      </c>
      <c r="R207" s="3" t="s">
        <v>841</v>
      </c>
      <c r="S207" s="2" t="s">
        <v>855</v>
      </c>
    </row>
    <row r="208" spans="1:19" ht="15.4" customHeight="1" x14ac:dyDescent="0.45">
      <c r="A208" s="2" t="s">
        <v>1132</v>
      </c>
      <c r="B208" s="2" t="s">
        <v>1545</v>
      </c>
      <c r="C208" s="10"/>
      <c r="D208" s="2" t="s">
        <v>1519</v>
      </c>
      <c r="E208" s="15">
        <v>11</v>
      </c>
      <c r="F208" s="2" t="s">
        <v>1558</v>
      </c>
      <c r="G208" s="5" t="s">
        <v>487</v>
      </c>
      <c r="H208" s="2" t="s">
        <v>505</v>
      </c>
      <c r="I208" s="2" t="s">
        <v>510</v>
      </c>
      <c r="J208" s="2" t="s">
        <v>511</v>
      </c>
      <c r="K208" s="2" t="s">
        <v>9</v>
      </c>
      <c r="L208" s="2" t="s">
        <v>607</v>
      </c>
      <c r="M208" s="2" t="s">
        <v>11</v>
      </c>
      <c r="N208" s="2" t="s">
        <v>1383</v>
      </c>
      <c r="O208" s="2" t="s">
        <v>1204</v>
      </c>
      <c r="P208" s="2">
        <v>40</v>
      </c>
      <c r="Q208" s="3">
        <v>1</v>
      </c>
      <c r="R208" s="3" t="s">
        <v>841</v>
      </c>
      <c r="S208" s="2" t="s">
        <v>855</v>
      </c>
    </row>
    <row r="209" spans="1:19" ht="15.4" customHeight="1" x14ac:dyDescent="0.45">
      <c r="A209" s="2" t="s">
        <v>1133</v>
      </c>
      <c r="B209" s="2" t="s">
        <v>1545</v>
      </c>
      <c r="C209" s="10"/>
      <c r="D209" s="2" t="s">
        <v>1519</v>
      </c>
      <c r="E209" s="15">
        <v>12</v>
      </c>
      <c r="F209" s="2" t="s">
        <v>1558</v>
      </c>
      <c r="G209" s="5" t="s">
        <v>487</v>
      </c>
      <c r="H209" s="2" t="s">
        <v>505</v>
      </c>
      <c r="I209" s="2" t="s">
        <v>512</v>
      </c>
      <c r="J209" s="2" t="s">
        <v>513</v>
      </c>
      <c r="K209" s="2" t="s">
        <v>9</v>
      </c>
      <c r="L209" s="2" t="s">
        <v>608</v>
      </c>
      <c r="M209" s="2" t="s">
        <v>11</v>
      </c>
      <c r="N209" s="2" t="s">
        <v>1384</v>
      </c>
      <c r="O209" s="2" t="s">
        <v>1204</v>
      </c>
      <c r="P209" s="2">
        <v>40</v>
      </c>
      <c r="Q209" s="3">
        <v>1</v>
      </c>
      <c r="R209" s="3" t="s">
        <v>841</v>
      </c>
      <c r="S209" s="2" t="s">
        <v>855</v>
      </c>
    </row>
    <row r="210" spans="1:19" ht="15.4" customHeight="1" x14ac:dyDescent="0.45">
      <c r="A210" s="2" t="s">
        <v>1134</v>
      </c>
      <c r="B210" s="2" t="s">
        <v>1545</v>
      </c>
      <c r="C210" s="10"/>
      <c r="D210" s="2" t="s">
        <v>1519</v>
      </c>
      <c r="E210" s="15">
        <v>13</v>
      </c>
      <c r="F210" s="2" t="s">
        <v>1558</v>
      </c>
      <c r="G210" s="5" t="s">
        <v>487</v>
      </c>
      <c r="H210" s="2" t="s">
        <v>514</v>
      </c>
      <c r="I210" s="2" t="s">
        <v>515</v>
      </c>
      <c r="J210" s="2" t="s">
        <v>516</v>
      </c>
      <c r="K210" s="2" t="s">
        <v>9</v>
      </c>
      <c r="L210" s="2" t="s">
        <v>609</v>
      </c>
      <c r="M210" s="2" t="s">
        <v>11</v>
      </c>
      <c r="N210" s="2" t="s">
        <v>1385</v>
      </c>
      <c r="O210" s="2" t="s">
        <v>1204</v>
      </c>
      <c r="P210" s="2">
        <v>40</v>
      </c>
      <c r="Q210" s="3">
        <v>1</v>
      </c>
      <c r="R210" s="3" t="s">
        <v>841</v>
      </c>
      <c r="S210" s="2" t="s">
        <v>855</v>
      </c>
    </row>
    <row r="211" spans="1:19" ht="15.4" customHeight="1" x14ac:dyDescent="0.45">
      <c r="A211" s="2" t="s">
        <v>1135</v>
      </c>
      <c r="B211" s="2" t="s">
        <v>1545</v>
      </c>
      <c r="C211" s="10"/>
      <c r="D211" s="2" t="s">
        <v>1519</v>
      </c>
      <c r="E211" s="15">
        <v>14</v>
      </c>
      <c r="F211" s="2" t="s">
        <v>1558</v>
      </c>
      <c r="G211" s="5" t="s">
        <v>487</v>
      </c>
      <c r="H211" s="2" t="s">
        <v>514</v>
      </c>
      <c r="I211" s="2" t="s">
        <v>517</v>
      </c>
      <c r="J211" s="2" t="s">
        <v>518</v>
      </c>
      <c r="K211" s="2" t="s">
        <v>9</v>
      </c>
      <c r="L211" s="2" t="s">
        <v>519</v>
      </c>
      <c r="M211" s="2" t="s">
        <v>11</v>
      </c>
      <c r="N211" s="2" t="s">
        <v>1386</v>
      </c>
      <c r="O211" s="2" t="s">
        <v>1204</v>
      </c>
      <c r="P211" s="2">
        <v>40</v>
      </c>
      <c r="Q211" s="3">
        <v>1</v>
      </c>
      <c r="R211" s="3" t="s">
        <v>841</v>
      </c>
      <c r="S211" s="2" t="s">
        <v>855</v>
      </c>
    </row>
    <row r="212" spans="1:19" ht="15.4" customHeight="1" x14ac:dyDescent="0.45">
      <c r="A212" s="2" t="s">
        <v>1136</v>
      </c>
      <c r="B212" s="2" t="s">
        <v>1545</v>
      </c>
      <c r="C212" s="10"/>
      <c r="D212" s="2" t="s">
        <v>1519</v>
      </c>
      <c r="E212" s="15">
        <v>15</v>
      </c>
      <c r="F212" s="2" t="s">
        <v>1558</v>
      </c>
      <c r="G212" s="5" t="s">
        <v>487</v>
      </c>
      <c r="H212" s="2" t="s">
        <v>514</v>
      </c>
      <c r="I212" s="2" t="s">
        <v>520</v>
      </c>
      <c r="J212" s="2" t="s">
        <v>521</v>
      </c>
      <c r="K212" s="2" t="s">
        <v>9</v>
      </c>
      <c r="L212" s="2" t="s">
        <v>610</v>
      </c>
      <c r="M212" s="2" t="s">
        <v>11</v>
      </c>
      <c r="N212" s="2" t="s">
        <v>1387</v>
      </c>
      <c r="O212" s="2" t="s">
        <v>1204</v>
      </c>
      <c r="P212" s="2">
        <v>36</v>
      </c>
      <c r="Q212" s="3">
        <v>1</v>
      </c>
      <c r="R212" s="3" t="s">
        <v>856</v>
      </c>
      <c r="S212" s="2" t="s">
        <v>857</v>
      </c>
    </row>
    <row r="213" spans="1:19" ht="15.4" customHeight="1" x14ac:dyDescent="0.45">
      <c r="A213" s="2" t="s">
        <v>1137</v>
      </c>
      <c r="B213" s="2" t="s">
        <v>1545</v>
      </c>
      <c r="C213" s="10"/>
      <c r="D213" s="2" t="s">
        <v>1519</v>
      </c>
      <c r="E213" s="15">
        <v>16</v>
      </c>
      <c r="F213" s="2" t="s">
        <v>1558</v>
      </c>
      <c r="G213" s="5" t="s">
        <v>487</v>
      </c>
      <c r="H213" s="2" t="s">
        <v>514</v>
      </c>
      <c r="I213" s="2" t="s">
        <v>520</v>
      </c>
      <c r="J213" s="2" t="s">
        <v>938</v>
      </c>
      <c r="K213" s="2" t="s">
        <v>9</v>
      </c>
      <c r="L213" s="2" t="s">
        <v>611</v>
      </c>
      <c r="M213" s="2" t="s">
        <v>11</v>
      </c>
      <c r="N213" s="2" t="s">
        <v>1388</v>
      </c>
      <c r="O213" s="2" t="s">
        <v>1204</v>
      </c>
      <c r="P213" s="2">
        <v>36</v>
      </c>
      <c r="Q213" s="3">
        <v>1</v>
      </c>
      <c r="R213" s="3" t="s">
        <v>856</v>
      </c>
      <c r="S213" s="2" t="s">
        <v>857</v>
      </c>
    </row>
    <row r="214" spans="1:19" ht="15.4" customHeight="1" x14ac:dyDescent="0.45">
      <c r="A214" s="2" t="s">
        <v>1138</v>
      </c>
      <c r="B214" s="2" t="s">
        <v>1545</v>
      </c>
      <c r="C214" s="10"/>
      <c r="D214" s="2" t="s">
        <v>1519</v>
      </c>
      <c r="E214" s="15">
        <v>17</v>
      </c>
      <c r="F214" s="2" t="s">
        <v>1558</v>
      </c>
      <c r="G214" s="5" t="s">
        <v>487</v>
      </c>
      <c r="H214" s="2" t="s">
        <v>514</v>
      </c>
      <c r="I214" s="2" t="s">
        <v>939</v>
      </c>
      <c r="J214" s="2" t="s">
        <v>522</v>
      </c>
      <c r="K214" s="2" t="s">
        <v>9</v>
      </c>
      <c r="L214" s="2" t="s">
        <v>612</v>
      </c>
      <c r="M214" s="2" t="s">
        <v>11</v>
      </c>
      <c r="N214" s="2" t="s">
        <v>1389</v>
      </c>
      <c r="O214" s="2" t="s">
        <v>1204</v>
      </c>
      <c r="P214" s="2">
        <v>40</v>
      </c>
      <c r="Q214" s="3">
        <v>1</v>
      </c>
      <c r="R214" s="3" t="s">
        <v>841</v>
      </c>
      <c r="S214" s="2" t="s">
        <v>855</v>
      </c>
    </row>
    <row r="215" spans="1:19" ht="15.4" customHeight="1" x14ac:dyDescent="0.45">
      <c r="A215" s="2" t="s">
        <v>1139</v>
      </c>
      <c r="B215" s="2" t="s">
        <v>1545</v>
      </c>
      <c r="C215" s="10"/>
      <c r="D215" s="2" t="s">
        <v>1519</v>
      </c>
      <c r="E215" s="15">
        <v>18</v>
      </c>
      <c r="F215" s="2" t="s">
        <v>1558</v>
      </c>
      <c r="G215" s="5" t="s">
        <v>487</v>
      </c>
      <c r="H215" s="2" t="s">
        <v>514</v>
      </c>
      <c r="I215" s="2" t="s">
        <v>515</v>
      </c>
      <c r="J215" s="2" t="s">
        <v>523</v>
      </c>
      <c r="K215" s="2" t="s">
        <v>9</v>
      </c>
      <c r="L215" s="2" t="s">
        <v>613</v>
      </c>
      <c r="M215" s="2" t="s">
        <v>11</v>
      </c>
      <c r="N215" s="2" t="s">
        <v>1390</v>
      </c>
      <c r="O215" s="2" t="s">
        <v>1204</v>
      </c>
      <c r="P215" s="2">
        <v>40</v>
      </c>
      <c r="Q215" s="3">
        <v>1</v>
      </c>
      <c r="R215" s="3" t="s">
        <v>841</v>
      </c>
      <c r="S215" s="2" t="s">
        <v>855</v>
      </c>
    </row>
    <row r="216" spans="1:19" ht="15.4" customHeight="1" x14ac:dyDescent="0.45">
      <c r="A216" s="2" t="s">
        <v>1140</v>
      </c>
      <c r="B216" s="2" t="s">
        <v>1545</v>
      </c>
      <c r="C216" s="10"/>
      <c r="D216" s="2" t="s">
        <v>1519</v>
      </c>
      <c r="E216" s="15">
        <v>19</v>
      </c>
      <c r="F216" s="2" t="s">
        <v>1558</v>
      </c>
      <c r="G216" s="5" t="s">
        <v>487</v>
      </c>
      <c r="H216" s="2" t="s">
        <v>514</v>
      </c>
      <c r="I216" s="2" t="s">
        <v>492</v>
      </c>
      <c r="J216" s="2" t="s">
        <v>524</v>
      </c>
      <c r="K216" s="2" t="s">
        <v>9</v>
      </c>
      <c r="L216" s="2" t="s">
        <v>614</v>
      </c>
      <c r="M216" s="2" t="s">
        <v>11</v>
      </c>
      <c r="N216" s="2" t="s">
        <v>1391</v>
      </c>
      <c r="O216" s="2" t="s">
        <v>1204</v>
      </c>
      <c r="P216" s="2">
        <v>40</v>
      </c>
      <c r="Q216" s="3">
        <v>1</v>
      </c>
      <c r="R216" s="3" t="s">
        <v>841</v>
      </c>
      <c r="S216" s="2" t="s">
        <v>855</v>
      </c>
    </row>
    <row r="217" spans="1:19" ht="15.4" customHeight="1" x14ac:dyDescent="0.45">
      <c r="A217" s="2" t="s">
        <v>1141</v>
      </c>
      <c r="B217" s="2" t="s">
        <v>1545</v>
      </c>
      <c r="C217" s="10"/>
      <c r="D217" s="2" t="s">
        <v>1519</v>
      </c>
      <c r="E217" s="15">
        <v>20</v>
      </c>
      <c r="F217" s="2" t="s">
        <v>1558</v>
      </c>
      <c r="G217" s="5" t="s">
        <v>487</v>
      </c>
      <c r="H217" s="2" t="s">
        <v>514</v>
      </c>
      <c r="I217" s="2" t="s">
        <v>525</v>
      </c>
      <c r="J217" s="2" t="s">
        <v>526</v>
      </c>
      <c r="K217" s="2" t="s">
        <v>9</v>
      </c>
      <c r="L217" s="2" t="s">
        <v>615</v>
      </c>
      <c r="M217" s="2" t="s">
        <v>11</v>
      </c>
      <c r="N217" s="2" t="s">
        <v>1392</v>
      </c>
      <c r="O217" s="2" t="s">
        <v>1204</v>
      </c>
    </row>
    <row r="218" spans="1:19" ht="15.4" customHeight="1" x14ac:dyDescent="0.45">
      <c r="A218" s="2" t="s">
        <v>1142</v>
      </c>
      <c r="B218" s="2" t="s">
        <v>1545</v>
      </c>
      <c r="C218" s="10"/>
      <c r="D218" s="2" t="s">
        <v>1519</v>
      </c>
      <c r="E218" s="15">
        <v>21</v>
      </c>
      <c r="F218" s="2" t="s">
        <v>1558</v>
      </c>
      <c r="G218" s="5" t="s">
        <v>487</v>
      </c>
      <c r="H218" s="2" t="s">
        <v>514</v>
      </c>
      <c r="I218" s="2" t="s">
        <v>527</v>
      </c>
      <c r="J218" s="2" t="s">
        <v>528</v>
      </c>
      <c r="K218" s="2" t="s">
        <v>9</v>
      </c>
      <c r="L218" s="2" t="s">
        <v>616</v>
      </c>
      <c r="M218" s="2" t="s">
        <v>11</v>
      </c>
      <c r="N218" s="2" t="s">
        <v>1393</v>
      </c>
      <c r="O218" s="2" t="s">
        <v>1204</v>
      </c>
      <c r="P218" s="2">
        <v>40</v>
      </c>
      <c r="Q218" s="3">
        <v>1</v>
      </c>
      <c r="R218" s="3" t="s">
        <v>841</v>
      </c>
      <c r="S218" s="2" t="s">
        <v>855</v>
      </c>
    </row>
    <row r="219" spans="1:19" ht="15.4" customHeight="1" x14ac:dyDescent="0.45">
      <c r="A219" s="2" t="s">
        <v>1143</v>
      </c>
      <c r="B219" s="2" t="s">
        <v>1545</v>
      </c>
      <c r="C219" s="10"/>
      <c r="D219" s="2" t="s">
        <v>1519</v>
      </c>
      <c r="E219" s="15">
        <v>22</v>
      </c>
      <c r="F219" s="2" t="s">
        <v>1558</v>
      </c>
      <c r="G219" s="5" t="s">
        <v>487</v>
      </c>
      <c r="H219" s="2" t="s">
        <v>529</v>
      </c>
      <c r="I219" s="2" t="s">
        <v>289</v>
      </c>
      <c r="J219" s="2" t="s">
        <v>530</v>
      </c>
      <c r="K219" s="2" t="s">
        <v>9</v>
      </c>
      <c r="L219" s="2" t="s">
        <v>617</v>
      </c>
      <c r="M219" s="2" t="s">
        <v>11</v>
      </c>
      <c r="N219" s="2" t="s">
        <v>1394</v>
      </c>
      <c r="O219" s="2" t="s">
        <v>1204</v>
      </c>
      <c r="P219" s="2">
        <v>40</v>
      </c>
      <c r="Q219" s="3">
        <v>1</v>
      </c>
      <c r="R219" s="3" t="s">
        <v>841</v>
      </c>
      <c r="S219" s="2" t="s">
        <v>855</v>
      </c>
    </row>
    <row r="220" spans="1:19" ht="15.4" customHeight="1" x14ac:dyDescent="0.45">
      <c r="A220" s="2" t="s">
        <v>1144</v>
      </c>
      <c r="B220" s="2" t="s">
        <v>1545</v>
      </c>
      <c r="C220" s="10"/>
      <c r="D220" s="2" t="s">
        <v>1519</v>
      </c>
      <c r="E220" s="15">
        <v>23</v>
      </c>
      <c r="F220" s="2" t="s">
        <v>1558</v>
      </c>
      <c r="G220" s="5" t="s">
        <v>487</v>
      </c>
      <c r="H220" s="2" t="s">
        <v>529</v>
      </c>
      <c r="I220" s="2" t="s">
        <v>531</v>
      </c>
      <c r="J220" s="2" t="s">
        <v>532</v>
      </c>
      <c r="K220" s="2" t="s">
        <v>9</v>
      </c>
      <c r="L220" s="2" t="s">
        <v>618</v>
      </c>
      <c r="M220" s="2" t="s">
        <v>11</v>
      </c>
      <c r="N220" s="2" t="s">
        <v>1395</v>
      </c>
      <c r="O220" s="2" t="s">
        <v>1204</v>
      </c>
      <c r="P220" s="2">
        <v>40</v>
      </c>
      <c r="Q220" s="3">
        <v>1</v>
      </c>
      <c r="R220" s="3" t="s">
        <v>841</v>
      </c>
      <c r="S220" s="2" t="s">
        <v>855</v>
      </c>
    </row>
    <row r="221" spans="1:19" ht="15.4" customHeight="1" x14ac:dyDescent="0.45">
      <c r="A221" s="2" t="s">
        <v>1145</v>
      </c>
      <c r="B221" s="2" t="s">
        <v>1545</v>
      </c>
      <c r="C221" s="10"/>
      <c r="D221" s="2" t="s">
        <v>1519</v>
      </c>
      <c r="E221" s="15">
        <v>24</v>
      </c>
      <c r="F221" s="2" t="s">
        <v>1558</v>
      </c>
      <c r="G221" s="5" t="s">
        <v>487</v>
      </c>
      <c r="H221" s="2" t="s">
        <v>529</v>
      </c>
      <c r="I221" s="2" t="s">
        <v>533</v>
      </c>
      <c r="J221" s="2" t="s">
        <v>534</v>
      </c>
      <c r="K221" s="2" t="s">
        <v>9</v>
      </c>
      <c r="L221" s="2" t="s">
        <v>619</v>
      </c>
      <c r="M221" s="2" t="s">
        <v>11</v>
      </c>
      <c r="N221" s="2" t="s">
        <v>1396</v>
      </c>
      <c r="O221" s="2" t="s">
        <v>1204</v>
      </c>
      <c r="P221" s="2">
        <v>40</v>
      </c>
      <c r="Q221" s="3">
        <v>1</v>
      </c>
      <c r="R221" s="3" t="s">
        <v>841</v>
      </c>
      <c r="S221" s="2" t="s">
        <v>855</v>
      </c>
    </row>
    <row r="222" spans="1:19" ht="15.4" customHeight="1" x14ac:dyDescent="0.45">
      <c r="A222" s="2" t="s">
        <v>1146</v>
      </c>
      <c r="B222" s="2" t="s">
        <v>1545</v>
      </c>
      <c r="C222" s="10"/>
      <c r="D222" s="2" t="s">
        <v>1519</v>
      </c>
      <c r="E222" s="15">
        <v>25</v>
      </c>
      <c r="F222" s="2" t="s">
        <v>1558</v>
      </c>
      <c r="G222" s="5" t="s">
        <v>487</v>
      </c>
      <c r="H222" s="2" t="s">
        <v>529</v>
      </c>
      <c r="I222" s="2" t="s">
        <v>535</v>
      </c>
      <c r="J222" s="2" t="s">
        <v>536</v>
      </c>
      <c r="K222" s="2" t="s">
        <v>9</v>
      </c>
      <c r="L222" s="2" t="s">
        <v>620</v>
      </c>
      <c r="M222" s="2" t="s">
        <v>11</v>
      </c>
      <c r="N222" s="2" t="s">
        <v>1397</v>
      </c>
      <c r="O222" s="2" t="s">
        <v>1204</v>
      </c>
      <c r="P222" s="2">
        <v>40</v>
      </c>
      <c r="Q222" s="3">
        <v>1</v>
      </c>
      <c r="R222" s="3" t="s">
        <v>841</v>
      </c>
      <c r="S222" s="2" t="s">
        <v>855</v>
      </c>
    </row>
    <row r="223" spans="1:19" ht="15.4" customHeight="1" x14ac:dyDescent="0.45">
      <c r="A223" s="2" t="s">
        <v>1147</v>
      </c>
      <c r="B223" s="2" t="s">
        <v>1545</v>
      </c>
      <c r="C223" s="10"/>
      <c r="D223" s="2" t="s">
        <v>1519</v>
      </c>
      <c r="E223" s="15">
        <v>26</v>
      </c>
      <c r="F223" s="2" t="s">
        <v>1558</v>
      </c>
      <c r="G223" s="5" t="s">
        <v>487</v>
      </c>
      <c r="H223" s="2" t="s">
        <v>537</v>
      </c>
      <c r="I223" s="2" t="s">
        <v>538</v>
      </c>
      <c r="J223" s="2" t="s">
        <v>539</v>
      </c>
      <c r="K223" s="2" t="s">
        <v>9</v>
      </c>
      <c r="L223" s="2" t="s">
        <v>540</v>
      </c>
      <c r="M223" s="2" t="s">
        <v>11</v>
      </c>
      <c r="N223" s="2" t="s">
        <v>1398</v>
      </c>
      <c r="O223" s="2" t="s">
        <v>1204</v>
      </c>
      <c r="P223" s="2" t="s">
        <v>859</v>
      </c>
      <c r="Q223" s="3">
        <v>2</v>
      </c>
      <c r="R223" s="3" t="s">
        <v>858</v>
      </c>
    </row>
    <row r="224" spans="1:19" ht="15.4" customHeight="1" x14ac:dyDescent="0.45">
      <c r="A224" s="2" t="s">
        <v>1148</v>
      </c>
      <c r="B224" s="2" t="s">
        <v>1545</v>
      </c>
      <c r="C224" s="10"/>
      <c r="D224" s="2" t="s">
        <v>1519</v>
      </c>
      <c r="E224" s="15">
        <v>27</v>
      </c>
      <c r="F224" s="2" t="s">
        <v>1558</v>
      </c>
      <c r="G224" s="5" t="s">
        <v>487</v>
      </c>
      <c r="H224" s="2" t="s">
        <v>537</v>
      </c>
      <c r="I224" s="2" t="s">
        <v>541</v>
      </c>
      <c r="J224" s="2" t="s">
        <v>542</v>
      </c>
      <c r="K224" s="2" t="s">
        <v>9</v>
      </c>
      <c r="L224" s="2" t="s">
        <v>621</v>
      </c>
      <c r="M224" s="2" t="s">
        <v>11</v>
      </c>
      <c r="N224" s="2" t="s">
        <v>1399</v>
      </c>
      <c r="O224" s="2" t="s">
        <v>1204</v>
      </c>
      <c r="P224" s="2">
        <v>19</v>
      </c>
      <c r="Q224" s="3">
        <v>2</v>
      </c>
      <c r="R224" s="3" t="s">
        <v>860</v>
      </c>
      <c r="S224" s="2" t="s">
        <v>861</v>
      </c>
    </row>
    <row r="225" spans="1:19" ht="15.4" customHeight="1" x14ac:dyDescent="0.45">
      <c r="A225" s="2" t="s">
        <v>1149</v>
      </c>
      <c r="B225" s="2" t="s">
        <v>1545</v>
      </c>
      <c r="C225" s="10"/>
      <c r="D225" s="2" t="s">
        <v>1519</v>
      </c>
      <c r="E225" s="15">
        <v>28</v>
      </c>
      <c r="F225" s="2" t="s">
        <v>1558</v>
      </c>
      <c r="G225" s="5" t="s">
        <v>487</v>
      </c>
      <c r="H225" s="2" t="s">
        <v>537</v>
      </c>
      <c r="I225" s="2" t="s">
        <v>543</v>
      </c>
      <c r="J225" s="2" t="s">
        <v>544</v>
      </c>
      <c r="K225" s="2" t="s">
        <v>9</v>
      </c>
      <c r="L225" s="2" t="s">
        <v>622</v>
      </c>
      <c r="M225" s="2" t="s">
        <v>11</v>
      </c>
      <c r="N225" s="2" t="s">
        <v>1400</v>
      </c>
      <c r="O225" s="2" t="s">
        <v>1204</v>
      </c>
      <c r="P225" s="2">
        <v>28</v>
      </c>
      <c r="Q225" s="3">
        <v>2</v>
      </c>
      <c r="R225" s="3" t="s">
        <v>862</v>
      </c>
      <c r="S225" s="2" t="s">
        <v>863</v>
      </c>
    </row>
    <row r="226" spans="1:19" ht="15.4" customHeight="1" x14ac:dyDescent="0.45">
      <c r="A226" s="2" t="s">
        <v>1150</v>
      </c>
      <c r="B226" s="2" t="s">
        <v>1545</v>
      </c>
      <c r="C226" s="10"/>
      <c r="D226" s="2" t="s">
        <v>1519</v>
      </c>
      <c r="E226" s="15">
        <v>29</v>
      </c>
      <c r="F226" s="2" t="s">
        <v>1558</v>
      </c>
      <c r="G226" s="5" t="s">
        <v>487</v>
      </c>
      <c r="H226" s="2" t="s">
        <v>537</v>
      </c>
      <c r="I226" s="2" t="s">
        <v>545</v>
      </c>
      <c r="J226" s="2" t="s">
        <v>546</v>
      </c>
      <c r="K226" s="2" t="s">
        <v>9</v>
      </c>
      <c r="L226" s="2" t="s">
        <v>623</v>
      </c>
      <c r="M226" s="2" t="s">
        <v>11</v>
      </c>
      <c r="N226" s="2" t="s">
        <v>1401</v>
      </c>
      <c r="O226" s="2" t="s">
        <v>1204</v>
      </c>
    </row>
    <row r="227" spans="1:19" ht="15.4" customHeight="1" x14ac:dyDescent="0.45">
      <c r="A227" s="2" t="s">
        <v>1539</v>
      </c>
      <c r="B227" s="2" t="s">
        <v>1545</v>
      </c>
      <c r="C227" s="10" t="s">
        <v>1584</v>
      </c>
      <c r="E227" s="15">
        <v>1</v>
      </c>
      <c r="G227" s="5" t="s">
        <v>1530</v>
      </c>
      <c r="J227" s="2" t="s">
        <v>1538</v>
      </c>
      <c r="O227" s="2"/>
    </row>
    <row r="228" spans="1:19" ht="15.4" customHeight="1" x14ac:dyDescent="0.45">
      <c r="A228" s="2" t="s">
        <v>1151</v>
      </c>
      <c r="B228" s="2" t="s">
        <v>1545</v>
      </c>
      <c r="C228" s="10"/>
      <c r="E228" s="15">
        <v>2</v>
      </c>
      <c r="F228" s="2" t="s">
        <v>1559</v>
      </c>
      <c r="G228" s="5" t="s">
        <v>1510</v>
      </c>
      <c r="H228" s="2" t="s">
        <v>541</v>
      </c>
      <c r="I228" s="2" t="s">
        <v>624</v>
      </c>
      <c r="J228" s="2" t="s">
        <v>547</v>
      </c>
      <c r="K228" s="2" t="s">
        <v>9</v>
      </c>
      <c r="L228" s="2" t="s">
        <v>625</v>
      </c>
      <c r="M228" s="2" t="s">
        <v>11</v>
      </c>
      <c r="N228" s="2" t="s">
        <v>1402</v>
      </c>
      <c r="O228" s="2" t="s">
        <v>1204</v>
      </c>
      <c r="P228" s="2">
        <v>19</v>
      </c>
      <c r="Q228" s="3">
        <v>2</v>
      </c>
      <c r="R228" s="3" t="s">
        <v>864</v>
      </c>
      <c r="S228" s="2" t="s">
        <v>865</v>
      </c>
    </row>
    <row r="229" spans="1:19" ht="15.4" customHeight="1" x14ac:dyDescent="0.45">
      <c r="A229" s="2" t="s">
        <v>1152</v>
      </c>
      <c r="B229" s="2" t="s">
        <v>1545</v>
      </c>
      <c r="C229" s="10"/>
      <c r="E229" s="15">
        <v>3</v>
      </c>
      <c r="F229" s="2" t="s">
        <v>1559</v>
      </c>
      <c r="G229" s="5" t="s">
        <v>1510</v>
      </c>
      <c r="H229" s="2" t="s">
        <v>541</v>
      </c>
      <c r="I229" s="2" t="s">
        <v>548</v>
      </c>
      <c r="J229" s="2" t="s">
        <v>549</v>
      </c>
      <c r="K229" s="2" t="s">
        <v>9</v>
      </c>
      <c r="L229" s="2" t="s">
        <v>626</v>
      </c>
      <c r="M229" s="2" t="s">
        <v>11</v>
      </c>
      <c r="N229" s="2" t="s">
        <v>1403</v>
      </c>
      <c r="O229" s="2" t="s">
        <v>1204</v>
      </c>
      <c r="P229" s="2" t="s">
        <v>884</v>
      </c>
      <c r="Q229" s="3">
        <v>3</v>
      </c>
      <c r="R229" s="3" t="s">
        <v>866</v>
      </c>
      <c r="S229" s="2" t="s">
        <v>867</v>
      </c>
    </row>
    <row r="230" spans="1:19" ht="15.4" customHeight="1" x14ac:dyDescent="0.45">
      <c r="A230" s="2" t="s">
        <v>1153</v>
      </c>
      <c r="B230" s="2" t="s">
        <v>1545</v>
      </c>
      <c r="C230" s="10"/>
      <c r="E230" s="15">
        <v>4</v>
      </c>
      <c r="F230" s="2" t="s">
        <v>1559</v>
      </c>
      <c r="G230" s="5" t="s">
        <v>1510</v>
      </c>
      <c r="H230" s="2" t="s">
        <v>541</v>
      </c>
      <c r="I230" s="2" t="s">
        <v>550</v>
      </c>
      <c r="J230" s="2" t="s">
        <v>551</v>
      </c>
      <c r="K230" s="2" t="s">
        <v>9</v>
      </c>
      <c r="L230" s="2" t="s">
        <v>626</v>
      </c>
      <c r="M230" s="2" t="s">
        <v>11</v>
      </c>
      <c r="N230" s="2" t="s">
        <v>1404</v>
      </c>
      <c r="O230" s="2" t="s">
        <v>1204</v>
      </c>
      <c r="P230" s="2">
        <v>19</v>
      </c>
      <c r="Q230" s="3">
        <v>2</v>
      </c>
      <c r="R230" s="3" t="s">
        <v>868</v>
      </c>
      <c r="S230" s="2" t="s">
        <v>869</v>
      </c>
    </row>
    <row r="231" spans="1:19" ht="15.4" customHeight="1" x14ac:dyDescent="0.45">
      <c r="A231" s="2" t="s">
        <v>1154</v>
      </c>
      <c r="B231" s="2" t="s">
        <v>1545</v>
      </c>
      <c r="C231" s="10"/>
      <c r="E231" s="15">
        <v>5</v>
      </c>
      <c r="F231" s="2" t="s">
        <v>1559</v>
      </c>
      <c r="G231" s="5" t="s">
        <v>1510</v>
      </c>
      <c r="H231" s="2" t="s">
        <v>541</v>
      </c>
      <c r="I231" s="2" t="s">
        <v>627</v>
      </c>
      <c r="J231" s="2" t="s">
        <v>552</v>
      </c>
      <c r="K231" s="2" t="s">
        <v>9</v>
      </c>
      <c r="L231" s="2" t="s">
        <v>628</v>
      </c>
      <c r="M231" s="2" t="s">
        <v>11</v>
      </c>
      <c r="N231" s="2" t="s">
        <v>1405</v>
      </c>
      <c r="O231" s="2" t="s">
        <v>1204</v>
      </c>
      <c r="P231" s="2">
        <v>19</v>
      </c>
      <c r="Q231" s="3">
        <v>2</v>
      </c>
      <c r="R231" s="3" t="s">
        <v>868</v>
      </c>
      <c r="S231" s="2" t="s">
        <v>869</v>
      </c>
    </row>
    <row r="232" spans="1:19" ht="15.4" customHeight="1" x14ac:dyDescent="0.45">
      <c r="A232" s="2" t="s">
        <v>1155</v>
      </c>
      <c r="B232" s="2" t="s">
        <v>1545</v>
      </c>
      <c r="C232" s="10"/>
      <c r="E232" s="15">
        <v>6</v>
      </c>
      <c r="F232" s="2" t="s">
        <v>1559</v>
      </c>
      <c r="G232" s="5" t="s">
        <v>1510</v>
      </c>
      <c r="H232" s="2" t="s">
        <v>541</v>
      </c>
      <c r="I232" s="2" t="s">
        <v>553</v>
      </c>
      <c r="J232" s="2" t="s">
        <v>554</v>
      </c>
      <c r="K232" s="2" t="s">
        <v>9</v>
      </c>
      <c r="L232" s="2" t="s">
        <v>629</v>
      </c>
      <c r="M232" s="2" t="s">
        <v>11</v>
      </c>
      <c r="N232" s="2" t="s">
        <v>1406</v>
      </c>
      <c r="O232" s="2" t="s">
        <v>1204</v>
      </c>
      <c r="P232" s="2">
        <v>19</v>
      </c>
      <c r="Q232" s="3">
        <v>2</v>
      </c>
      <c r="R232" s="3" t="s">
        <v>868</v>
      </c>
      <c r="S232" s="2" t="s">
        <v>869</v>
      </c>
    </row>
    <row r="233" spans="1:19" ht="15.4" customHeight="1" x14ac:dyDescent="0.45">
      <c r="A233" s="2" t="s">
        <v>1156</v>
      </c>
      <c r="B233" s="2" t="s">
        <v>1545</v>
      </c>
      <c r="C233" s="10"/>
      <c r="E233" s="15">
        <v>7</v>
      </c>
      <c r="F233" s="2" t="s">
        <v>1559</v>
      </c>
      <c r="G233" s="5" t="s">
        <v>1510</v>
      </c>
      <c r="H233" s="2" t="s">
        <v>555</v>
      </c>
      <c r="I233" s="2" t="s">
        <v>506</v>
      </c>
      <c r="J233" s="2" t="s">
        <v>556</v>
      </c>
      <c r="K233" s="2" t="s">
        <v>9</v>
      </c>
      <c r="L233" s="2" t="s">
        <v>630</v>
      </c>
      <c r="M233" s="2" t="s">
        <v>11</v>
      </c>
      <c r="N233" s="2" t="s">
        <v>1407</v>
      </c>
      <c r="O233" s="2" t="s">
        <v>1204</v>
      </c>
      <c r="P233" s="2">
        <v>32</v>
      </c>
      <c r="Q233" s="3">
        <v>1</v>
      </c>
      <c r="R233" s="3" t="s">
        <v>870</v>
      </c>
      <c r="S233" s="2" t="s">
        <v>871</v>
      </c>
    </row>
    <row r="234" spans="1:19" ht="15.4" customHeight="1" x14ac:dyDescent="0.45">
      <c r="A234" s="2" t="s">
        <v>1157</v>
      </c>
      <c r="B234" s="2" t="s">
        <v>1545</v>
      </c>
      <c r="C234" s="10"/>
      <c r="E234" s="15">
        <v>8</v>
      </c>
      <c r="F234" s="2" t="s">
        <v>1559</v>
      </c>
      <c r="G234" s="5" t="s">
        <v>1510</v>
      </c>
      <c r="H234" s="2" t="s">
        <v>555</v>
      </c>
      <c r="I234" s="2" t="s">
        <v>557</v>
      </c>
      <c r="J234" s="2" t="s">
        <v>558</v>
      </c>
      <c r="K234" s="2" t="s">
        <v>9</v>
      </c>
      <c r="L234" s="2" t="s">
        <v>631</v>
      </c>
      <c r="M234" s="2" t="s">
        <v>11</v>
      </c>
      <c r="N234" s="2" t="s">
        <v>1408</v>
      </c>
      <c r="O234" s="2" t="s">
        <v>1204</v>
      </c>
      <c r="P234" s="2">
        <v>32</v>
      </c>
      <c r="Q234" s="3">
        <v>1</v>
      </c>
      <c r="R234" s="3" t="s">
        <v>872</v>
      </c>
      <c r="S234" s="2" t="s">
        <v>907</v>
      </c>
    </row>
    <row r="235" spans="1:19" ht="15.4" customHeight="1" x14ac:dyDescent="0.45">
      <c r="A235" s="2" t="s">
        <v>1158</v>
      </c>
      <c r="B235" s="2" t="s">
        <v>1545</v>
      </c>
      <c r="C235" s="10"/>
      <c r="E235" s="15">
        <v>9</v>
      </c>
      <c r="F235" s="2" t="s">
        <v>1559</v>
      </c>
      <c r="G235" s="5" t="s">
        <v>1510</v>
      </c>
      <c r="H235" s="2" t="s">
        <v>555</v>
      </c>
      <c r="I235" s="2" t="s">
        <v>559</v>
      </c>
      <c r="J235" s="2" t="s">
        <v>560</v>
      </c>
      <c r="K235" s="2" t="s">
        <v>9</v>
      </c>
      <c r="L235" s="2" t="s">
        <v>632</v>
      </c>
      <c r="M235" s="2" t="s">
        <v>11</v>
      </c>
      <c r="N235" s="2" t="s">
        <v>1409</v>
      </c>
      <c r="O235" s="2" t="s">
        <v>1204</v>
      </c>
    </row>
    <row r="236" spans="1:19" ht="15.4" customHeight="1" x14ac:dyDescent="0.45">
      <c r="A236" s="2" t="s">
        <v>1159</v>
      </c>
      <c r="B236" s="2" t="s">
        <v>1545</v>
      </c>
      <c r="C236" s="10"/>
      <c r="E236" s="15">
        <v>10</v>
      </c>
      <c r="F236" s="2" t="s">
        <v>1559</v>
      </c>
      <c r="G236" s="5" t="s">
        <v>1510</v>
      </c>
      <c r="H236" s="2" t="s">
        <v>555</v>
      </c>
      <c r="I236" s="2" t="s">
        <v>561</v>
      </c>
      <c r="J236" s="2" t="s">
        <v>562</v>
      </c>
      <c r="K236" s="2" t="s">
        <v>9</v>
      </c>
      <c r="L236" s="2" t="s">
        <v>633</v>
      </c>
      <c r="M236" s="2" t="s">
        <v>11</v>
      </c>
      <c r="N236" s="2" t="s">
        <v>1410</v>
      </c>
      <c r="O236" s="2" t="s">
        <v>1204</v>
      </c>
      <c r="P236" s="2">
        <v>32</v>
      </c>
      <c r="Q236" s="3">
        <v>1</v>
      </c>
      <c r="R236" s="3" t="s">
        <v>870</v>
      </c>
      <c r="S236" s="2" t="s">
        <v>871</v>
      </c>
    </row>
    <row r="237" spans="1:19" ht="15.4" customHeight="1" x14ac:dyDescent="0.45">
      <c r="A237" s="2" t="s">
        <v>1160</v>
      </c>
      <c r="B237" s="2" t="s">
        <v>1545</v>
      </c>
      <c r="C237" s="10"/>
      <c r="E237" s="15">
        <v>11</v>
      </c>
      <c r="F237" s="2" t="s">
        <v>1559</v>
      </c>
      <c r="G237" s="5" t="s">
        <v>1510</v>
      </c>
      <c r="H237" s="2" t="s">
        <v>555</v>
      </c>
      <c r="I237" s="2" t="s">
        <v>563</v>
      </c>
      <c r="J237" s="2" t="s">
        <v>564</v>
      </c>
      <c r="K237" s="2" t="s">
        <v>9</v>
      </c>
      <c r="L237" s="2" t="s">
        <v>634</v>
      </c>
      <c r="M237" s="2" t="s">
        <v>11</v>
      </c>
      <c r="N237" s="2" t="s">
        <v>1411</v>
      </c>
      <c r="O237" s="2" t="s">
        <v>1204</v>
      </c>
    </row>
    <row r="238" spans="1:19" ht="15.4" customHeight="1" x14ac:dyDescent="0.45">
      <c r="A238" s="2" t="s">
        <v>1161</v>
      </c>
      <c r="B238" s="2" t="s">
        <v>1545</v>
      </c>
      <c r="C238" s="10"/>
      <c r="E238" s="15">
        <v>12</v>
      </c>
      <c r="F238" s="2" t="s">
        <v>1559</v>
      </c>
      <c r="G238" s="5" t="s">
        <v>1510</v>
      </c>
      <c r="H238" s="2" t="s">
        <v>565</v>
      </c>
      <c r="I238" s="2" t="s">
        <v>565</v>
      </c>
      <c r="J238" s="2" t="s">
        <v>566</v>
      </c>
      <c r="K238" s="2" t="s">
        <v>9</v>
      </c>
      <c r="L238" s="2" t="s">
        <v>635</v>
      </c>
      <c r="M238" s="2" t="s">
        <v>11</v>
      </c>
      <c r="N238" s="2" t="s">
        <v>1412</v>
      </c>
      <c r="O238" s="2" t="s">
        <v>1204</v>
      </c>
      <c r="P238" s="2" t="s">
        <v>845</v>
      </c>
      <c r="Q238" s="3">
        <v>3</v>
      </c>
      <c r="R238" s="3" t="s">
        <v>873</v>
      </c>
      <c r="S238" s="2" t="s">
        <v>874</v>
      </c>
    </row>
    <row r="239" spans="1:19" ht="15.4" customHeight="1" x14ac:dyDescent="0.45">
      <c r="A239" s="2" t="s">
        <v>1163</v>
      </c>
      <c r="B239" s="2" t="s">
        <v>1545</v>
      </c>
      <c r="C239" s="10"/>
      <c r="E239" s="15">
        <v>13</v>
      </c>
      <c r="F239" s="2" t="s">
        <v>1559</v>
      </c>
      <c r="G239" s="5" t="s">
        <v>1510</v>
      </c>
      <c r="H239" s="2" t="s">
        <v>565</v>
      </c>
      <c r="I239" s="2" t="s">
        <v>567</v>
      </c>
      <c r="J239" s="2" t="s">
        <v>568</v>
      </c>
      <c r="K239" s="2" t="s">
        <v>9</v>
      </c>
      <c r="L239" s="2" t="s">
        <v>636</v>
      </c>
      <c r="M239" s="2" t="s">
        <v>11</v>
      </c>
      <c r="N239" s="2" t="s">
        <v>1413</v>
      </c>
      <c r="O239" s="2" t="s">
        <v>1204</v>
      </c>
      <c r="P239" s="2">
        <v>40</v>
      </c>
      <c r="Q239" s="3">
        <v>1</v>
      </c>
      <c r="R239" s="3" t="s">
        <v>875</v>
      </c>
      <c r="S239" s="2" t="s">
        <v>876</v>
      </c>
    </row>
    <row r="240" spans="1:19" ht="15.4" customHeight="1" x14ac:dyDescent="0.45">
      <c r="A240" s="2" t="s">
        <v>1164</v>
      </c>
      <c r="B240" s="2" t="s">
        <v>1545</v>
      </c>
      <c r="C240" s="10"/>
      <c r="E240" s="15">
        <v>14</v>
      </c>
      <c r="F240" s="2" t="s">
        <v>1559</v>
      </c>
      <c r="G240" s="5" t="s">
        <v>1510</v>
      </c>
      <c r="H240" s="2" t="s">
        <v>565</v>
      </c>
      <c r="I240" s="2" t="s">
        <v>569</v>
      </c>
      <c r="J240" s="2" t="s">
        <v>570</v>
      </c>
      <c r="K240" s="2" t="s">
        <v>9</v>
      </c>
      <c r="L240" s="2" t="s">
        <v>637</v>
      </c>
      <c r="M240" s="2" t="s">
        <v>11</v>
      </c>
      <c r="N240" s="2" t="s">
        <v>1414</v>
      </c>
      <c r="O240" s="2" t="s">
        <v>1204</v>
      </c>
      <c r="P240" s="2">
        <v>40</v>
      </c>
      <c r="Q240" s="3">
        <v>1</v>
      </c>
      <c r="R240" s="3" t="s">
        <v>875</v>
      </c>
      <c r="S240" s="2" t="s">
        <v>876</v>
      </c>
    </row>
    <row r="241" spans="1:19" ht="15.4" customHeight="1" x14ac:dyDescent="0.45">
      <c r="A241" s="2" t="s">
        <v>1165</v>
      </c>
      <c r="B241" s="2" t="s">
        <v>1545</v>
      </c>
      <c r="C241" s="10"/>
      <c r="E241" s="15">
        <v>15</v>
      </c>
      <c r="F241" s="2" t="s">
        <v>1559</v>
      </c>
      <c r="G241" s="5" t="s">
        <v>1510</v>
      </c>
      <c r="H241" s="2" t="s">
        <v>571</v>
      </c>
      <c r="I241" s="2" t="s">
        <v>572</v>
      </c>
      <c r="J241" s="2" t="s">
        <v>573</v>
      </c>
      <c r="K241" s="2" t="s">
        <v>9</v>
      </c>
      <c r="L241" s="2" t="s">
        <v>638</v>
      </c>
      <c r="M241" s="2" t="s">
        <v>11</v>
      </c>
      <c r="N241" s="2" t="s">
        <v>1415</v>
      </c>
      <c r="O241" s="2" t="s">
        <v>1204</v>
      </c>
      <c r="P241" s="2">
        <v>35</v>
      </c>
      <c r="Q241" s="3">
        <v>2</v>
      </c>
      <c r="R241" s="3" t="s">
        <v>877</v>
      </c>
      <c r="S241" s="2" t="s">
        <v>908</v>
      </c>
    </row>
    <row r="242" spans="1:19" ht="15.4" customHeight="1" x14ac:dyDescent="0.45">
      <c r="A242" s="2" t="s">
        <v>1166</v>
      </c>
      <c r="B242" s="2" t="s">
        <v>1545</v>
      </c>
      <c r="C242" s="10"/>
      <c r="E242" s="15">
        <v>16</v>
      </c>
      <c r="F242" s="2" t="s">
        <v>1559</v>
      </c>
      <c r="G242" s="5" t="s">
        <v>1510</v>
      </c>
      <c r="H242" s="2" t="s">
        <v>571</v>
      </c>
      <c r="I242" s="2" t="s">
        <v>639</v>
      </c>
      <c r="J242" s="2" t="s">
        <v>574</v>
      </c>
      <c r="K242" s="2" t="s">
        <v>9</v>
      </c>
      <c r="L242" s="2" t="s">
        <v>640</v>
      </c>
      <c r="M242" s="2" t="s">
        <v>11</v>
      </c>
      <c r="N242" s="2" t="s">
        <v>1416</v>
      </c>
      <c r="O242" s="2" t="s">
        <v>1204</v>
      </c>
      <c r="P242" s="2">
        <v>33</v>
      </c>
      <c r="Q242" s="3">
        <v>1</v>
      </c>
      <c r="R242" s="3" t="s">
        <v>891</v>
      </c>
      <c r="S242" s="2" t="s">
        <v>886</v>
      </c>
    </row>
    <row r="243" spans="1:19" ht="15.4" customHeight="1" x14ac:dyDescent="0.45">
      <c r="A243" s="2" t="s">
        <v>1167</v>
      </c>
      <c r="B243" s="2" t="s">
        <v>1545</v>
      </c>
      <c r="C243" s="10"/>
      <c r="E243" s="15">
        <v>17</v>
      </c>
      <c r="F243" s="2" t="s">
        <v>1559</v>
      </c>
      <c r="G243" s="5" t="s">
        <v>1510</v>
      </c>
      <c r="H243" s="2" t="s">
        <v>571</v>
      </c>
      <c r="I243" s="2" t="s">
        <v>641</v>
      </c>
      <c r="J243" s="2" t="s">
        <v>574</v>
      </c>
      <c r="K243" s="2" t="s">
        <v>9</v>
      </c>
      <c r="L243" s="2" t="s">
        <v>642</v>
      </c>
      <c r="M243" s="2" t="s">
        <v>11</v>
      </c>
      <c r="N243" s="2" t="s">
        <v>1417</v>
      </c>
      <c r="O243" s="2" t="s">
        <v>1204</v>
      </c>
      <c r="P243" s="2">
        <v>34</v>
      </c>
      <c r="Q243" s="3">
        <v>1</v>
      </c>
      <c r="R243" s="3" t="s">
        <v>878</v>
      </c>
      <c r="S243" s="2" t="s">
        <v>879</v>
      </c>
    </row>
    <row r="244" spans="1:19" ht="15.4" customHeight="1" x14ac:dyDescent="0.45">
      <c r="A244" s="2" t="s">
        <v>1168</v>
      </c>
      <c r="B244" s="2" t="s">
        <v>1545</v>
      </c>
      <c r="C244" s="10"/>
      <c r="E244" s="15">
        <v>18</v>
      </c>
      <c r="F244" s="2" t="s">
        <v>1559</v>
      </c>
      <c r="G244" s="5" t="s">
        <v>1510</v>
      </c>
      <c r="H244" s="2" t="s">
        <v>571</v>
      </c>
      <c r="I244" s="2" t="s">
        <v>575</v>
      </c>
      <c r="J244" s="2" t="s">
        <v>576</v>
      </c>
      <c r="K244" s="2" t="s">
        <v>9</v>
      </c>
      <c r="L244" s="2" t="s">
        <v>577</v>
      </c>
      <c r="M244" s="2" t="s">
        <v>11</v>
      </c>
      <c r="N244" s="2" t="s">
        <v>1418</v>
      </c>
      <c r="O244" s="2" t="s">
        <v>1204</v>
      </c>
      <c r="P244" s="2">
        <v>34</v>
      </c>
      <c r="Q244" s="3">
        <v>1</v>
      </c>
      <c r="R244" s="3" t="s">
        <v>878</v>
      </c>
      <c r="S244" s="2" t="s">
        <v>879</v>
      </c>
    </row>
    <row r="245" spans="1:19" ht="15.4" customHeight="1" x14ac:dyDescent="0.45">
      <c r="A245" s="2" t="s">
        <v>1162</v>
      </c>
      <c r="B245" s="2" t="s">
        <v>1545</v>
      </c>
      <c r="C245" s="10"/>
      <c r="E245" s="15">
        <v>19</v>
      </c>
      <c r="F245" s="2" t="s">
        <v>1559</v>
      </c>
      <c r="G245" s="5" t="s">
        <v>1510</v>
      </c>
      <c r="H245" s="2" t="s">
        <v>578</v>
      </c>
      <c r="I245" s="2" t="s">
        <v>506</v>
      </c>
      <c r="J245" s="2" t="s">
        <v>579</v>
      </c>
      <c r="K245" s="2" t="s">
        <v>9</v>
      </c>
      <c r="L245" s="2" t="s">
        <v>580</v>
      </c>
      <c r="M245" s="2" t="s">
        <v>11</v>
      </c>
      <c r="N245" s="2" t="s">
        <v>1419</v>
      </c>
      <c r="O245" s="2" t="s">
        <v>1204</v>
      </c>
      <c r="P245" s="2">
        <v>33</v>
      </c>
      <c r="Q245" s="3">
        <v>1</v>
      </c>
      <c r="R245" s="3" t="s">
        <v>889</v>
      </c>
      <c r="S245" s="2" t="s">
        <v>887</v>
      </c>
    </row>
    <row r="246" spans="1:19" ht="15.4" customHeight="1" x14ac:dyDescent="0.45">
      <c r="A246" s="2" t="s">
        <v>1169</v>
      </c>
      <c r="B246" s="2" t="s">
        <v>1545</v>
      </c>
      <c r="C246" s="10"/>
      <c r="E246" s="15">
        <v>20</v>
      </c>
      <c r="F246" s="2" t="s">
        <v>1559</v>
      </c>
      <c r="G246" s="5" t="s">
        <v>1510</v>
      </c>
      <c r="H246" s="2" t="s">
        <v>578</v>
      </c>
      <c r="I246" s="2" t="s">
        <v>581</v>
      </c>
      <c r="J246" s="2" t="s">
        <v>582</v>
      </c>
      <c r="K246" s="2" t="s">
        <v>9</v>
      </c>
      <c r="L246" s="2" t="s">
        <v>583</v>
      </c>
      <c r="M246" s="2" t="s">
        <v>11</v>
      </c>
      <c r="N246" s="2" t="s">
        <v>1420</v>
      </c>
      <c r="O246" s="2" t="s">
        <v>1204</v>
      </c>
      <c r="P246" s="2">
        <v>33</v>
      </c>
      <c r="Q246" s="3">
        <v>1</v>
      </c>
      <c r="R246" s="3" t="s">
        <v>890</v>
      </c>
      <c r="S246" s="2" t="s">
        <v>888</v>
      </c>
    </row>
    <row r="247" spans="1:19" ht="15.4" customHeight="1" x14ac:dyDescent="0.45">
      <c r="A247" s="2" t="s">
        <v>1170</v>
      </c>
      <c r="B247" s="2" t="s">
        <v>1545</v>
      </c>
      <c r="C247" s="10"/>
      <c r="E247" s="15">
        <v>21</v>
      </c>
      <c r="F247" s="2" t="s">
        <v>1559</v>
      </c>
      <c r="G247" s="5" t="s">
        <v>1510</v>
      </c>
      <c r="H247" s="2" t="s">
        <v>584</v>
      </c>
      <c r="I247" s="2" t="s">
        <v>506</v>
      </c>
      <c r="J247" s="2" t="s">
        <v>585</v>
      </c>
      <c r="K247" s="2" t="s">
        <v>9</v>
      </c>
      <c r="L247" s="2" t="s">
        <v>643</v>
      </c>
      <c r="M247" s="2" t="s">
        <v>11</v>
      </c>
      <c r="N247" s="2" t="s">
        <v>1421</v>
      </c>
      <c r="O247" s="2" t="s">
        <v>1204</v>
      </c>
      <c r="P247" s="2">
        <v>38</v>
      </c>
      <c r="Q247" s="3">
        <v>1</v>
      </c>
      <c r="R247" s="3" t="s">
        <v>880</v>
      </c>
      <c r="S247" s="2" t="s">
        <v>881</v>
      </c>
    </row>
    <row r="248" spans="1:19" ht="15.4" customHeight="1" x14ac:dyDescent="0.45">
      <c r="A248" s="2" t="s">
        <v>1171</v>
      </c>
      <c r="B248" s="2" t="s">
        <v>1545</v>
      </c>
      <c r="C248" s="10"/>
      <c r="E248" s="15">
        <v>22</v>
      </c>
      <c r="F248" s="2" t="s">
        <v>1559</v>
      </c>
      <c r="G248" s="5" t="s">
        <v>1510</v>
      </c>
      <c r="H248" s="2" t="s">
        <v>584</v>
      </c>
      <c r="I248" s="2" t="s">
        <v>586</v>
      </c>
      <c r="J248" s="2" t="s">
        <v>587</v>
      </c>
      <c r="K248" s="2" t="s">
        <v>9</v>
      </c>
      <c r="L248" s="2" t="s">
        <v>644</v>
      </c>
      <c r="M248" s="2" t="s">
        <v>11</v>
      </c>
      <c r="N248" s="2" t="s">
        <v>1422</v>
      </c>
      <c r="O248" s="2" t="s">
        <v>1204</v>
      </c>
      <c r="P248" s="2">
        <v>38</v>
      </c>
      <c r="Q248" s="3">
        <v>1</v>
      </c>
      <c r="R248" s="3" t="s">
        <v>882</v>
      </c>
      <c r="S248" s="2" t="s">
        <v>909</v>
      </c>
    </row>
    <row r="249" spans="1:19" ht="15.4" customHeight="1" x14ac:dyDescent="0.45">
      <c r="A249" s="2" t="s">
        <v>1172</v>
      </c>
      <c r="B249" s="2" t="s">
        <v>1545</v>
      </c>
      <c r="C249" s="10"/>
      <c r="E249" s="15">
        <v>23</v>
      </c>
      <c r="F249" s="2" t="s">
        <v>1559</v>
      </c>
      <c r="G249" s="5" t="s">
        <v>1510</v>
      </c>
      <c r="H249" s="2" t="s">
        <v>584</v>
      </c>
      <c r="I249" s="2" t="s">
        <v>588</v>
      </c>
      <c r="J249" s="2" t="s">
        <v>589</v>
      </c>
      <c r="K249" s="2" t="s">
        <v>9</v>
      </c>
      <c r="L249" s="2" t="s">
        <v>645</v>
      </c>
      <c r="M249" s="2" t="s">
        <v>11</v>
      </c>
      <c r="N249" s="2" t="s">
        <v>1423</v>
      </c>
      <c r="O249" s="2" t="s">
        <v>1204</v>
      </c>
      <c r="P249" s="2">
        <v>38</v>
      </c>
      <c r="Q249" s="3">
        <v>1</v>
      </c>
      <c r="R249" s="3" t="s">
        <v>883</v>
      </c>
      <c r="S249" s="2" t="s">
        <v>910</v>
      </c>
    </row>
    <row r="250" spans="1:19" ht="15.4" customHeight="1" x14ac:dyDescent="0.45">
      <c r="A250" s="2" t="s">
        <v>1600</v>
      </c>
      <c r="B250" s="2" t="s">
        <v>1545</v>
      </c>
      <c r="C250" s="10"/>
      <c r="E250" s="15">
        <v>24</v>
      </c>
      <c r="F250" s="2" t="s">
        <v>1559</v>
      </c>
      <c r="G250" s="5" t="s">
        <v>1510</v>
      </c>
      <c r="H250" s="2" t="s">
        <v>590</v>
      </c>
      <c r="I250" s="2" t="s">
        <v>591</v>
      </c>
      <c r="J250" s="2" t="s">
        <v>592</v>
      </c>
      <c r="K250" s="2" t="s">
        <v>9</v>
      </c>
      <c r="L250" s="7"/>
      <c r="M250" s="2" t="s">
        <v>11</v>
      </c>
      <c r="N250" s="2" t="s">
        <v>1424</v>
      </c>
      <c r="O250" s="2" t="s">
        <v>1204</v>
      </c>
      <c r="P250" s="2" t="s">
        <v>884</v>
      </c>
      <c r="Q250" s="3">
        <v>3</v>
      </c>
      <c r="R250" s="3" t="s">
        <v>885</v>
      </c>
      <c r="S250" s="2" t="s">
        <v>867</v>
      </c>
    </row>
    <row r="251" spans="1:19" ht="15.4" customHeight="1" x14ac:dyDescent="0.45">
      <c r="A251" s="2" t="s">
        <v>1601</v>
      </c>
      <c r="B251" s="2" t="s">
        <v>1545</v>
      </c>
      <c r="C251" s="10"/>
      <c r="E251" s="15">
        <v>25</v>
      </c>
      <c r="F251" s="2" t="s">
        <v>1559</v>
      </c>
      <c r="G251" s="5" t="s">
        <v>1510</v>
      </c>
      <c r="H251" s="2" t="s">
        <v>590</v>
      </c>
      <c r="I251" s="2" t="s">
        <v>593</v>
      </c>
      <c r="J251" s="2" t="s">
        <v>594</v>
      </c>
      <c r="K251" s="2" t="s">
        <v>9</v>
      </c>
      <c r="L251" s="7"/>
      <c r="M251" s="2" t="s">
        <v>11</v>
      </c>
      <c r="N251" s="2" t="s">
        <v>1425</v>
      </c>
      <c r="O251" s="2" t="s">
        <v>1204</v>
      </c>
    </row>
    <row r="252" spans="1:19" ht="15.4" customHeight="1" x14ac:dyDescent="0.45">
      <c r="A252" s="2" t="s">
        <v>1602</v>
      </c>
      <c r="B252" s="2" t="s">
        <v>1545</v>
      </c>
      <c r="C252" s="10"/>
      <c r="E252" s="15">
        <v>26</v>
      </c>
      <c r="F252" s="2" t="s">
        <v>1559</v>
      </c>
      <c r="G252" s="5" t="s">
        <v>1510</v>
      </c>
      <c r="H252" s="2" t="s">
        <v>590</v>
      </c>
      <c r="I252" s="2" t="s">
        <v>595</v>
      </c>
      <c r="J252" s="2" t="s">
        <v>596</v>
      </c>
      <c r="K252" s="2" t="s">
        <v>9</v>
      </c>
      <c r="L252" s="2" t="s">
        <v>646</v>
      </c>
      <c r="M252" s="2" t="s">
        <v>11</v>
      </c>
      <c r="N252" s="2" t="s">
        <v>1426</v>
      </c>
      <c r="O252" s="2" t="s">
        <v>1204</v>
      </c>
      <c r="P252" s="6">
        <v>33</v>
      </c>
    </row>
    <row r="253" spans="1:19" ht="15.4" customHeight="1" x14ac:dyDescent="0.45">
      <c r="A253" s="2" t="s">
        <v>1603</v>
      </c>
      <c r="B253" s="2" t="s">
        <v>1545</v>
      </c>
      <c r="C253" s="10"/>
      <c r="E253" s="15">
        <v>27</v>
      </c>
      <c r="F253" s="2" t="s">
        <v>1559</v>
      </c>
      <c r="G253" s="5" t="s">
        <v>1510</v>
      </c>
      <c r="H253" s="2" t="s">
        <v>590</v>
      </c>
      <c r="I253" s="2" t="s">
        <v>597</v>
      </c>
      <c r="J253" s="2" t="s">
        <v>598</v>
      </c>
      <c r="K253" s="2" t="s">
        <v>9</v>
      </c>
      <c r="L253" s="2" t="s">
        <v>647</v>
      </c>
      <c r="M253" s="2" t="s">
        <v>11</v>
      </c>
      <c r="N253" s="2" t="s">
        <v>1427</v>
      </c>
      <c r="O253" s="2" t="s">
        <v>1204</v>
      </c>
      <c r="P253" s="6">
        <v>23</v>
      </c>
    </row>
    <row r="254" spans="1:19" ht="15.4" customHeight="1" x14ac:dyDescent="0.45">
      <c r="A254" s="2" t="s">
        <v>1604</v>
      </c>
      <c r="B254" s="2" t="s">
        <v>1545</v>
      </c>
      <c r="C254" s="10"/>
      <c r="E254" s="15">
        <v>28</v>
      </c>
      <c r="F254" s="2" t="s">
        <v>1559</v>
      </c>
      <c r="G254" s="5" t="s">
        <v>1510</v>
      </c>
      <c r="H254" s="2" t="s">
        <v>590</v>
      </c>
      <c r="I254" s="2" t="s">
        <v>599</v>
      </c>
      <c r="J254" s="2" t="s">
        <v>600</v>
      </c>
      <c r="K254" s="2" t="s">
        <v>9</v>
      </c>
      <c r="L254" s="2" t="s">
        <v>648</v>
      </c>
      <c r="M254" s="2" t="s">
        <v>11</v>
      </c>
      <c r="N254" s="2" t="s">
        <v>1428</v>
      </c>
      <c r="O254" s="2" t="s">
        <v>1204</v>
      </c>
    </row>
    <row r="255" spans="1:19" ht="15.4" customHeight="1" x14ac:dyDescent="0.45">
      <c r="A255" s="2" t="s">
        <v>1605</v>
      </c>
      <c r="B255" s="2" t="s">
        <v>1512</v>
      </c>
      <c r="C255" s="10"/>
      <c r="E255" s="15">
        <v>1</v>
      </c>
      <c r="F255" s="2" t="s">
        <v>1560</v>
      </c>
      <c r="G255" s="5" t="s">
        <v>1511</v>
      </c>
      <c r="H255" s="3" t="s">
        <v>649</v>
      </c>
      <c r="I255" s="3" t="s">
        <v>650</v>
      </c>
      <c r="J255" s="3" t="s">
        <v>651</v>
      </c>
      <c r="K255" s="3" t="s">
        <v>9</v>
      </c>
      <c r="L255" s="3" t="s">
        <v>676</v>
      </c>
      <c r="M255" s="3" t="s">
        <v>11</v>
      </c>
      <c r="N255" s="2" t="s">
        <v>1429</v>
      </c>
      <c r="O255" s="2" t="s">
        <v>1204</v>
      </c>
      <c r="P255" s="2">
        <v>19</v>
      </c>
      <c r="Q255" s="3">
        <v>2</v>
      </c>
      <c r="R255" s="3" t="s">
        <v>864</v>
      </c>
      <c r="S255" s="2" t="s">
        <v>892</v>
      </c>
    </row>
    <row r="256" spans="1:19" ht="15.4" customHeight="1" x14ac:dyDescent="0.45">
      <c r="A256" s="2" t="s">
        <v>1606</v>
      </c>
      <c r="B256" s="2" t="s">
        <v>1512</v>
      </c>
      <c r="C256" s="10"/>
      <c r="E256" s="15">
        <v>2</v>
      </c>
      <c r="F256" s="2" t="s">
        <v>1560</v>
      </c>
      <c r="G256" s="5" t="s">
        <v>1511</v>
      </c>
      <c r="H256" s="3" t="s">
        <v>649</v>
      </c>
      <c r="I256" s="2" t="s">
        <v>652</v>
      </c>
      <c r="J256" s="2" t="s">
        <v>653</v>
      </c>
      <c r="K256" s="2" t="s">
        <v>9</v>
      </c>
      <c r="L256" s="2" t="s">
        <v>677</v>
      </c>
      <c r="M256" s="2" t="s">
        <v>11</v>
      </c>
      <c r="N256" s="2" t="s">
        <v>1430</v>
      </c>
      <c r="O256" s="2" t="s">
        <v>1204</v>
      </c>
    </row>
    <row r="257" spans="1:19" ht="15.4" customHeight="1" x14ac:dyDescent="0.45">
      <c r="A257" s="2" t="s">
        <v>1607</v>
      </c>
      <c r="B257" s="2" t="s">
        <v>1512</v>
      </c>
      <c r="C257" s="10"/>
      <c r="E257" s="15">
        <v>3</v>
      </c>
      <c r="F257" s="2" t="s">
        <v>1560</v>
      </c>
      <c r="G257" s="5" t="s">
        <v>1511</v>
      </c>
      <c r="H257" s="3" t="s">
        <v>649</v>
      </c>
      <c r="I257" s="2" t="s">
        <v>654</v>
      </c>
      <c r="J257" s="2" t="s">
        <v>655</v>
      </c>
      <c r="K257" s="2" t="s">
        <v>9</v>
      </c>
      <c r="L257" s="2" t="s">
        <v>678</v>
      </c>
      <c r="M257" s="2" t="s">
        <v>11</v>
      </c>
      <c r="N257" s="2" t="s">
        <v>1431</v>
      </c>
      <c r="O257" s="2" t="s">
        <v>1204</v>
      </c>
    </row>
    <row r="258" spans="1:19" ht="15.4" customHeight="1" x14ac:dyDescent="0.45">
      <c r="A258" s="2" t="s">
        <v>1608</v>
      </c>
      <c r="B258" s="2" t="s">
        <v>1512</v>
      </c>
      <c r="C258" s="10"/>
      <c r="E258" s="15">
        <v>4</v>
      </c>
      <c r="F258" s="2" t="s">
        <v>1560</v>
      </c>
      <c r="G258" s="5" t="s">
        <v>1511</v>
      </c>
      <c r="H258" s="3" t="s">
        <v>649</v>
      </c>
      <c r="I258" s="2" t="s">
        <v>656</v>
      </c>
      <c r="J258" s="2" t="s">
        <v>657</v>
      </c>
      <c r="K258" s="2" t="s">
        <v>9</v>
      </c>
      <c r="L258" s="2" t="s">
        <v>679</v>
      </c>
      <c r="M258" s="2" t="s">
        <v>11</v>
      </c>
      <c r="N258" s="2" t="s">
        <v>1432</v>
      </c>
      <c r="O258" s="2" t="s">
        <v>1204</v>
      </c>
    </row>
    <row r="259" spans="1:19" ht="15.4" customHeight="1" x14ac:dyDescent="0.45">
      <c r="A259" s="2" t="s">
        <v>1609</v>
      </c>
      <c r="B259" s="2" t="s">
        <v>1512</v>
      </c>
      <c r="C259" s="10"/>
      <c r="E259" s="15">
        <v>5</v>
      </c>
      <c r="F259" s="2" t="s">
        <v>1560</v>
      </c>
      <c r="G259" s="5" t="s">
        <v>1511</v>
      </c>
      <c r="H259" s="3" t="s">
        <v>649</v>
      </c>
      <c r="I259" s="2" t="s">
        <v>658</v>
      </c>
      <c r="J259" s="2" t="s">
        <v>659</v>
      </c>
      <c r="K259" s="2" t="s">
        <v>9</v>
      </c>
      <c r="L259" s="2" t="s">
        <v>680</v>
      </c>
      <c r="M259" s="2" t="s">
        <v>11</v>
      </c>
      <c r="N259" s="2" t="s">
        <v>1433</v>
      </c>
      <c r="O259" s="2" t="s">
        <v>1204</v>
      </c>
    </row>
    <row r="260" spans="1:19" ht="15.4" customHeight="1" x14ac:dyDescent="0.45">
      <c r="A260" s="2" t="s">
        <v>1610</v>
      </c>
      <c r="B260" s="2" t="s">
        <v>1512</v>
      </c>
      <c r="C260" s="10"/>
      <c r="E260" s="15">
        <v>6</v>
      </c>
      <c r="F260" s="2" t="s">
        <v>1560</v>
      </c>
      <c r="G260" s="5" t="s">
        <v>1511</v>
      </c>
      <c r="H260" s="3" t="s">
        <v>649</v>
      </c>
      <c r="I260" s="2" t="s">
        <v>586</v>
      </c>
      <c r="J260" s="2" t="s">
        <v>660</v>
      </c>
      <c r="K260" s="2" t="s">
        <v>9</v>
      </c>
      <c r="L260" s="2" t="s">
        <v>681</v>
      </c>
      <c r="M260" s="2" t="s">
        <v>11</v>
      </c>
      <c r="N260" s="2" t="s">
        <v>1434</v>
      </c>
      <c r="O260" s="2" t="s">
        <v>1204</v>
      </c>
      <c r="P260" s="2">
        <v>19</v>
      </c>
      <c r="Q260" s="3">
        <v>2</v>
      </c>
      <c r="R260" s="3" t="s">
        <v>864</v>
      </c>
      <c r="S260" s="2" t="s">
        <v>892</v>
      </c>
    </row>
    <row r="261" spans="1:19" ht="15.4" customHeight="1" x14ac:dyDescent="0.45">
      <c r="A261" s="2" t="s">
        <v>1611</v>
      </c>
      <c r="B261" s="2" t="s">
        <v>1512</v>
      </c>
      <c r="C261" s="10"/>
      <c r="E261" s="15">
        <v>7</v>
      </c>
      <c r="F261" s="2" t="s">
        <v>1560</v>
      </c>
      <c r="G261" s="5" t="s">
        <v>1511</v>
      </c>
      <c r="H261" s="2" t="s">
        <v>661</v>
      </c>
      <c r="I261" s="2" t="s">
        <v>662</v>
      </c>
      <c r="J261" s="2" t="s">
        <v>663</v>
      </c>
      <c r="K261" s="2" t="s">
        <v>9</v>
      </c>
      <c r="L261" s="2" t="s">
        <v>682</v>
      </c>
      <c r="M261" s="2" t="s">
        <v>11</v>
      </c>
      <c r="N261" s="2" t="s">
        <v>1435</v>
      </c>
      <c r="O261" s="2" t="s">
        <v>1204</v>
      </c>
      <c r="P261" s="2" t="s">
        <v>893</v>
      </c>
      <c r="Q261" s="3">
        <v>3</v>
      </c>
      <c r="R261" s="3" t="s">
        <v>894</v>
      </c>
      <c r="S261" s="2" t="s">
        <v>895</v>
      </c>
    </row>
    <row r="262" spans="1:19" ht="15.4" customHeight="1" x14ac:dyDescent="0.45">
      <c r="A262" s="2" t="s">
        <v>1612</v>
      </c>
      <c r="B262" s="2" t="s">
        <v>1512</v>
      </c>
      <c r="C262" s="10"/>
      <c r="E262" s="15">
        <v>8</v>
      </c>
      <c r="F262" s="2" t="s">
        <v>1560</v>
      </c>
      <c r="G262" s="5" t="s">
        <v>1511</v>
      </c>
      <c r="H262" s="2" t="s">
        <v>661</v>
      </c>
      <c r="I262" s="2" t="s">
        <v>664</v>
      </c>
      <c r="J262" s="2" t="s">
        <v>665</v>
      </c>
      <c r="K262" s="2" t="s">
        <v>9</v>
      </c>
      <c r="L262" s="2" t="s">
        <v>666</v>
      </c>
      <c r="M262" s="2" t="s">
        <v>11</v>
      </c>
      <c r="N262" s="2" t="s">
        <v>1436</v>
      </c>
      <c r="O262" s="2" t="s">
        <v>1204</v>
      </c>
      <c r="P262" s="2">
        <v>19</v>
      </c>
      <c r="Q262" s="3">
        <v>2</v>
      </c>
      <c r="R262" s="3" t="s">
        <v>896</v>
      </c>
      <c r="S262" s="2" t="s">
        <v>897</v>
      </c>
    </row>
    <row r="263" spans="1:19" ht="15.4" customHeight="1" x14ac:dyDescent="0.45">
      <c r="A263" s="2" t="s">
        <v>1613</v>
      </c>
      <c r="B263" s="2" t="s">
        <v>1512</v>
      </c>
      <c r="C263" s="10"/>
      <c r="E263" s="15">
        <v>9</v>
      </c>
      <c r="F263" s="2" t="s">
        <v>1560</v>
      </c>
      <c r="G263" s="5" t="s">
        <v>1511</v>
      </c>
      <c r="H263" s="2" t="s">
        <v>661</v>
      </c>
      <c r="I263" s="2" t="s">
        <v>667</v>
      </c>
      <c r="J263" s="2" t="s">
        <v>668</v>
      </c>
      <c r="K263" s="2" t="s">
        <v>9</v>
      </c>
      <c r="L263" s="2" t="s">
        <v>683</v>
      </c>
      <c r="M263" s="2" t="s">
        <v>11</v>
      </c>
      <c r="N263" s="2" t="s">
        <v>1437</v>
      </c>
      <c r="O263" s="2" t="s">
        <v>1204</v>
      </c>
      <c r="P263" s="2" t="s">
        <v>893</v>
      </c>
      <c r="Q263" s="3">
        <v>3</v>
      </c>
      <c r="R263" s="3" t="s">
        <v>894</v>
      </c>
      <c r="S263" s="2" t="s">
        <v>895</v>
      </c>
    </row>
    <row r="264" spans="1:19" ht="15.4" customHeight="1" x14ac:dyDescent="0.45">
      <c r="A264" s="2" t="s">
        <v>1614</v>
      </c>
      <c r="B264" s="2" t="s">
        <v>1512</v>
      </c>
      <c r="C264" s="10"/>
      <c r="E264" s="15">
        <v>10</v>
      </c>
      <c r="F264" s="2" t="s">
        <v>1560</v>
      </c>
      <c r="G264" s="5" t="s">
        <v>1511</v>
      </c>
      <c r="H264" s="2" t="s">
        <v>661</v>
      </c>
      <c r="I264" s="2" t="s">
        <v>80</v>
      </c>
      <c r="J264" s="2" t="s">
        <v>669</v>
      </c>
      <c r="K264" s="2" t="s">
        <v>9</v>
      </c>
      <c r="L264" s="2" t="s">
        <v>684</v>
      </c>
      <c r="M264" s="2" t="s">
        <v>11</v>
      </c>
      <c r="N264" s="2" t="s">
        <v>1438</v>
      </c>
      <c r="O264" s="2" t="s">
        <v>1204</v>
      </c>
    </row>
    <row r="265" spans="1:19" ht="15.4" customHeight="1" x14ac:dyDescent="0.45">
      <c r="A265" s="2" t="s">
        <v>1615</v>
      </c>
      <c r="B265" s="2" t="s">
        <v>1512</v>
      </c>
      <c r="C265" s="10"/>
      <c r="E265" s="15">
        <v>11</v>
      </c>
      <c r="F265" s="2" t="s">
        <v>1560</v>
      </c>
      <c r="G265" s="5" t="s">
        <v>1511</v>
      </c>
      <c r="H265" s="2" t="s">
        <v>661</v>
      </c>
      <c r="I265" s="2" t="s">
        <v>1173</v>
      </c>
      <c r="J265" s="2" t="s">
        <v>940</v>
      </c>
      <c r="K265" s="2" t="s">
        <v>9</v>
      </c>
      <c r="L265" s="2" t="s">
        <v>685</v>
      </c>
      <c r="M265" s="2" t="s">
        <v>11</v>
      </c>
      <c r="N265" s="2" t="s">
        <v>1439</v>
      </c>
      <c r="O265" s="2" t="s">
        <v>1204</v>
      </c>
      <c r="P265" s="2" t="s">
        <v>893</v>
      </c>
      <c r="Q265" s="3">
        <v>3</v>
      </c>
      <c r="R265" s="3" t="s">
        <v>899</v>
      </c>
      <c r="S265" s="2" t="s">
        <v>895</v>
      </c>
    </row>
    <row r="266" spans="1:19" ht="15.4" customHeight="1" x14ac:dyDescent="0.45">
      <c r="A266" s="2" t="s">
        <v>1174</v>
      </c>
      <c r="B266" s="2" t="s">
        <v>1512</v>
      </c>
      <c r="C266" s="10"/>
      <c r="E266" s="15">
        <v>12</v>
      </c>
      <c r="F266" s="2" t="s">
        <v>1560</v>
      </c>
      <c r="G266" s="5" t="s">
        <v>1511</v>
      </c>
      <c r="H266" s="2" t="s">
        <v>661</v>
      </c>
      <c r="I266" s="2" t="s">
        <v>670</v>
      </c>
      <c r="J266" s="2" t="s">
        <v>671</v>
      </c>
      <c r="K266" s="2" t="s">
        <v>9</v>
      </c>
      <c r="L266" s="2" t="s">
        <v>686</v>
      </c>
      <c r="M266" s="2" t="s">
        <v>11</v>
      </c>
      <c r="N266" s="2" t="s">
        <v>1440</v>
      </c>
      <c r="O266" s="2" t="s">
        <v>1204</v>
      </c>
      <c r="P266" s="2" t="s">
        <v>898</v>
      </c>
      <c r="Q266" s="3">
        <v>3</v>
      </c>
      <c r="R266" s="3" t="s">
        <v>899</v>
      </c>
      <c r="S266" s="2" t="s">
        <v>895</v>
      </c>
    </row>
    <row r="267" spans="1:19" ht="15.4" customHeight="1" x14ac:dyDescent="0.45">
      <c r="A267" s="2" t="s">
        <v>1616</v>
      </c>
      <c r="B267" s="2" t="s">
        <v>1512</v>
      </c>
      <c r="C267" s="10"/>
      <c r="E267" s="15">
        <v>13</v>
      </c>
      <c r="F267" s="2" t="s">
        <v>1560</v>
      </c>
      <c r="G267" s="5" t="s">
        <v>1511</v>
      </c>
      <c r="H267" s="2" t="s">
        <v>565</v>
      </c>
      <c r="I267" s="2" t="s">
        <v>672</v>
      </c>
      <c r="J267" s="2" t="s">
        <v>673</v>
      </c>
      <c r="K267" s="2" t="s">
        <v>9</v>
      </c>
      <c r="L267" s="2" t="s">
        <v>687</v>
      </c>
      <c r="M267" s="2" t="s">
        <v>11</v>
      </c>
      <c r="N267" s="2" t="s">
        <v>1441</v>
      </c>
      <c r="O267" s="2" t="s">
        <v>1204</v>
      </c>
      <c r="P267" s="2" t="s">
        <v>831</v>
      </c>
      <c r="Q267" s="3">
        <v>1</v>
      </c>
      <c r="R267" s="3" t="s">
        <v>900</v>
      </c>
      <c r="S267" s="2" t="s">
        <v>901</v>
      </c>
    </row>
    <row r="268" spans="1:19" ht="15.4" customHeight="1" x14ac:dyDescent="0.45">
      <c r="A268" s="2" t="s">
        <v>1617</v>
      </c>
      <c r="B268" s="2" t="s">
        <v>1512</v>
      </c>
      <c r="C268" s="10"/>
      <c r="E268" s="15">
        <v>14</v>
      </c>
      <c r="F268" s="2" t="s">
        <v>1560</v>
      </c>
      <c r="G268" s="5" t="s">
        <v>1511</v>
      </c>
      <c r="H268" s="2" t="s">
        <v>565</v>
      </c>
      <c r="I268" s="2" t="s">
        <v>567</v>
      </c>
      <c r="J268" s="2" t="s">
        <v>674</v>
      </c>
      <c r="K268" s="2" t="s">
        <v>9</v>
      </c>
      <c r="L268" s="2" t="s">
        <v>688</v>
      </c>
      <c r="M268" s="2" t="s">
        <v>11</v>
      </c>
      <c r="N268" s="2" t="s">
        <v>1442</v>
      </c>
      <c r="O268" s="2" t="s">
        <v>1204</v>
      </c>
      <c r="P268" s="2">
        <v>40</v>
      </c>
      <c r="Q268" s="3">
        <v>1</v>
      </c>
    </row>
    <row r="269" spans="1:19" ht="15.4" customHeight="1" x14ac:dyDescent="0.45">
      <c r="A269" s="2" t="s">
        <v>1618</v>
      </c>
      <c r="B269" s="2" t="s">
        <v>1512</v>
      </c>
      <c r="C269" s="10"/>
      <c r="E269" s="15">
        <v>15</v>
      </c>
      <c r="F269" s="2" t="s">
        <v>1560</v>
      </c>
      <c r="G269" s="5" t="s">
        <v>1511</v>
      </c>
      <c r="H269" s="2" t="s">
        <v>565</v>
      </c>
      <c r="I269" s="2" t="s">
        <v>569</v>
      </c>
      <c r="J269" s="2" t="s">
        <v>675</v>
      </c>
      <c r="K269" s="2" t="s">
        <v>9</v>
      </c>
      <c r="L269" s="2" t="s">
        <v>689</v>
      </c>
      <c r="M269" s="2" t="s">
        <v>11</v>
      </c>
      <c r="N269" s="2" t="s">
        <v>1443</v>
      </c>
      <c r="O269" s="2" t="s">
        <v>1204</v>
      </c>
    </row>
    <row r="270" spans="1:19" ht="15.4" customHeight="1" x14ac:dyDescent="0.45">
      <c r="A270" s="2" t="s">
        <v>1619</v>
      </c>
      <c r="B270" s="2" t="s">
        <v>1513</v>
      </c>
      <c r="C270" s="10"/>
      <c r="E270" s="15">
        <v>1</v>
      </c>
      <c r="F270" s="2" t="s">
        <v>1561</v>
      </c>
      <c r="G270" s="5" t="s">
        <v>690</v>
      </c>
      <c r="H270" s="3" t="s">
        <v>691</v>
      </c>
      <c r="I270" s="3" t="s">
        <v>692</v>
      </c>
      <c r="J270" s="3" t="s">
        <v>693</v>
      </c>
      <c r="K270" s="3" t="s">
        <v>9</v>
      </c>
      <c r="L270" s="3" t="s">
        <v>725</v>
      </c>
      <c r="M270" s="3" t="s">
        <v>11</v>
      </c>
      <c r="N270" s="2" t="s">
        <v>1444</v>
      </c>
      <c r="O270" s="2" t="s">
        <v>1204</v>
      </c>
      <c r="P270" s="2">
        <v>33</v>
      </c>
      <c r="Q270" s="3">
        <v>1</v>
      </c>
      <c r="R270" s="3" t="s">
        <v>889</v>
      </c>
      <c r="S270" s="2" t="s">
        <v>887</v>
      </c>
    </row>
    <row r="271" spans="1:19" ht="15.4" customHeight="1" x14ac:dyDescent="0.45">
      <c r="A271" s="2" t="s">
        <v>1620</v>
      </c>
      <c r="B271" s="2" t="s">
        <v>1513</v>
      </c>
      <c r="C271" s="10"/>
      <c r="E271" s="15">
        <v>2</v>
      </c>
      <c r="F271" s="2" t="s">
        <v>1561</v>
      </c>
      <c r="G271" s="5" t="s">
        <v>690</v>
      </c>
      <c r="H271" s="3" t="s">
        <v>691</v>
      </c>
      <c r="I271" s="2" t="s">
        <v>694</v>
      </c>
      <c r="J271" s="3" t="s">
        <v>695</v>
      </c>
      <c r="K271" s="3" t="s">
        <v>9</v>
      </c>
      <c r="L271" s="3" t="s">
        <v>726</v>
      </c>
      <c r="M271" s="3" t="s">
        <v>11</v>
      </c>
      <c r="N271" s="2" t="s">
        <v>1445</v>
      </c>
      <c r="O271" s="2" t="s">
        <v>1204</v>
      </c>
      <c r="P271" s="2">
        <v>33</v>
      </c>
      <c r="Q271" s="3">
        <v>1</v>
      </c>
      <c r="R271" s="3" t="s">
        <v>889</v>
      </c>
      <c r="S271" s="2" t="s">
        <v>887</v>
      </c>
    </row>
    <row r="272" spans="1:19" ht="15.4" customHeight="1" x14ac:dyDescent="0.45">
      <c r="A272" s="2" t="s">
        <v>1621</v>
      </c>
      <c r="B272" s="2" t="s">
        <v>1513</v>
      </c>
      <c r="C272" s="10"/>
      <c r="E272" s="15">
        <v>3</v>
      </c>
      <c r="F272" s="2" t="s">
        <v>1561</v>
      </c>
      <c r="G272" s="5" t="s">
        <v>690</v>
      </c>
      <c r="H272" s="3" t="s">
        <v>691</v>
      </c>
      <c r="I272" s="2" t="s">
        <v>696</v>
      </c>
      <c r="J272" s="3" t="s">
        <v>697</v>
      </c>
      <c r="K272" s="3" t="s">
        <v>9</v>
      </c>
      <c r="L272" s="2" t="s">
        <v>727</v>
      </c>
      <c r="M272" s="2" t="s">
        <v>11</v>
      </c>
      <c r="N272" s="2" t="s">
        <v>1446</v>
      </c>
      <c r="O272" s="2" t="s">
        <v>1204</v>
      </c>
      <c r="P272" s="2">
        <v>33</v>
      </c>
      <c r="Q272" s="3">
        <v>1</v>
      </c>
      <c r="R272" s="3" t="s">
        <v>889</v>
      </c>
      <c r="S272" s="2" t="s">
        <v>887</v>
      </c>
    </row>
    <row r="273" spans="1:19" ht="15.4" customHeight="1" x14ac:dyDescent="0.45">
      <c r="A273" s="2" t="s">
        <v>1622</v>
      </c>
      <c r="B273" s="2" t="s">
        <v>1513</v>
      </c>
      <c r="C273" s="10"/>
      <c r="E273" s="15">
        <v>4</v>
      </c>
      <c r="F273" s="2" t="s">
        <v>1561</v>
      </c>
      <c r="G273" s="5" t="s">
        <v>690</v>
      </c>
      <c r="H273" s="3" t="s">
        <v>691</v>
      </c>
      <c r="I273" s="2" t="s">
        <v>698</v>
      </c>
      <c r="J273" s="2" t="s">
        <v>699</v>
      </c>
      <c r="K273" s="2" t="s">
        <v>9</v>
      </c>
      <c r="L273" s="2" t="s">
        <v>728</v>
      </c>
      <c r="M273" s="2" t="s">
        <v>11</v>
      </c>
      <c r="N273" s="2" t="s">
        <v>1447</v>
      </c>
      <c r="O273" s="2" t="s">
        <v>1204</v>
      </c>
      <c r="P273" s="2">
        <v>33</v>
      </c>
      <c r="Q273" s="3">
        <v>1</v>
      </c>
      <c r="R273" s="3" t="s">
        <v>902</v>
      </c>
      <c r="S273" s="2" t="s">
        <v>903</v>
      </c>
    </row>
    <row r="274" spans="1:19" ht="15.4" customHeight="1" x14ac:dyDescent="0.45">
      <c r="A274" s="2" t="s">
        <v>1623</v>
      </c>
      <c r="B274" s="2" t="s">
        <v>1513</v>
      </c>
      <c r="C274" s="10"/>
      <c r="E274" s="15">
        <v>5</v>
      </c>
      <c r="F274" s="2" t="s">
        <v>1561</v>
      </c>
      <c r="G274" s="5" t="s">
        <v>690</v>
      </c>
      <c r="H274" s="2" t="s">
        <v>700</v>
      </c>
      <c r="I274" s="2" t="s">
        <v>701</v>
      </c>
      <c r="J274" s="2" t="s">
        <v>702</v>
      </c>
      <c r="K274" s="2" t="s">
        <v>9</v>
      </c>
      <c r="L274" s="2" t="s">
        <v>729</v>
      </c>
      <c r="M274" s="2" t="s">
        <v>11</v>
      </c>
      <c r="N274" s="2" t="s">
        <v>1448</v>
      </c>
      <c r="O274" s="2" t="s">
        <v>1204</v>
      </c>
      <c r="P274" s="2">
        <v>32</v>
      </c>
      <c r="Q274" s="3">
        <v>1</v>
      </c>
      <c r="R274" s="3" t="s">
        <v>872</v>
      </c>
      <c r="S274" s="2" t="s">
        <v>907</v>
      </c>
    </row>
    <row r="275" spans="1:19" ht="15.4" customHeight="1" x14ac:dyDescent="0.45">
      <c r="A275" s="2" t="s">
        <v>1624</v>
      </c>
      <c r="B275" s="2" t="s">
        <v>1513</v>
      </c>
      <c r="C275" s="10"/>
      <c r="E275" s="15">
        <v>6</v>
      </c>
      <c r="F275" s="2" t="s">
        <v>1561</v>
      </c>
      <c r="G275" s="5" t="s">
        <v>690</v>
      </c>
      <c r="H275" s="2" t="s">
        <v>700</v>
      </c>
      <c r="I275" s="2" t="s">
        <v>703</v>
      </c>
      <c r="J275" s="2" t="s">
        <v>704</v>
      </c>
      <c r="K275" s="2" t="s">
        <v>9</v>
      </c>
      <c r="L275" s="2" t="s">
        <v>730</v>
      </c>
      <c r="M275" s="2" t="s">
        <v>11</v>
      </c>
      <c r="N275" s="2" t="s">
        <v>1449</v>
      </c>
      <c r="O275" s="2" t="s">
        <v>1204</v>
      </c>
      <c r="P275" s="2">
        <v>33</v>
      </c>
      <c r="Q275" s="3">
        <v>1</v>
      </c>
      <c r="R275" s="3" t="s">
        <v>889</v>
      </c>
      <c r="S275" s="2" t="s">
        <v>887</v>
      </c>
    </row>
    <row r="276" spans="1:19" ht="15.4" customHeight="1" x14ac:dyDescent="0.45">
      <c r="A276" s="2" t="s">
        <v>1625</v>
      </c>
      <c r="B276" s="2" t="s">
        <v>1513</v>
      </c>
      <c r="C276" s="10"/>
      <c r="E276" s="15">
        <v>7</v>
      </c>
      <c r="F276" s="2" t="s">
        <v>1561</v>
      </c>
      <c r="G276" s="5" t="s">
        <v>690</v>
      </c>
      <c r="H276" s="2" t="s">
        <v>700</v>
      </c>
      <c r="I276" s="2" t="s">
        <v>705</v>
      </c>
      <c r="J276" s="2" t="s">
        <v>706</v>
      </c>
      <c r="K276" s="2" t="s">
        <v>9</v>
      </c>
      <c r="L276" s="2" t="s">
        <v>731</v>
      </c>
      <c r="M276" s="2" t="s">
        <v>11</v>
      </c>
      <c r="N276" s="2" t="s">
        <v>1450</v>
      </c>
      <c r="O276" s="2" t="s">
        <v>1204</v>
      </c>
      <c r="P276" s="2">
        <v>32</v>
      </c>
      <c r="Q276" s="3">
        <v>1</v>
      </c>
      <c r="R276" s="3" t="s">
        <v>872</v>
      </c>
      <c r="S276" s="2" t="s">
        <v>907</v>
      </c>
    </row>
    <row r="277" spans="1:19" ht="15.4" customHeight="1" x14ac:dyDescent="0.45">
      <c r="A277" s="2" t="s">
        <v>1626</v>
      </c>
      <c r="B277" s="2" t="s">
        <v>1513</v>
      </c>
      <c r="C277" s="10"/>
      <c r="E277" s="15">
        <v>8</v>
      </c>
      <c r="F277" s="2" t="s">
        <v>1561</v>
      </c>
      <c r="G277" s="5" t="s">
        <v>690</v>
      </c>
      <c r="H277" s="2" t="s">
        <v>700</v>
      </c>
      <c r="I277" s="2" t="s">
        <v>707</v>
      </c>
      <c r="J277" s="2" t="s">
        <v>708</v>
      </c>
      <c r="K277" s="2" t="s">
        <v>9</v>
      </c>
      <c r="L277" s="2" t="s">
        <v>732</v>
      </c>
      <c r="M277" s="2" t="s">
        <v>11</v>
      </c>
      <c r="N277" s="2" t="s">
        <v>1451</v>
      </c>
      <c r="O277" s="2" t="s">
        <v>1204</v>
      </c>
      <c r="P277" s="2">
        <v>33</v>
      </c>
      <c r="Q277" s="3">
        <v>1</v>
      </c>
      <c r="R277" s="3" t="s">
        <v>889</v>
      </c>
      <c r="S277" s="2" t="s">
        <v>887</v>
      </c>
    </row>
    <row r="278" spans="1:19" ht="15.4" customHeight="1" x14ac:dyDescent="0.45">
      <c r="A278" s="2" t="s">
        <v>1627</v>
      </c>
      <c r="B278" s="2" t="s">
        <v>1513</v>
      </c>
      <c r="C278" s="10"/>
      <c r="E278" s="15">
        <v>9</v>
      </c>
      <c r="F278" s="2" t="s">
        <v>1561</v>
      </c>
      <c r="G278" s="5" t="s">
        <v>690</v>
      </c>
      <c r="H278" s="2" t="s">
        <v>700</v>
      </c>
      <c r="I278" s="2" t="s">
        <v>709</v>
      </c>
      <c r="J278" s="2" t="s">
        <v>710</v>
      </c>
      <c r="K278" s="2" t="s">
        <v>9</v>
      </c>
      <c r="L278" s="2" t="s">
        <v>711</v>
      </c>
      <c r="M278" s="2" t="s">
        <v>11</v>
      </c>
      <c r="N278" s="2" t="s">
        <v>1452</v>
      </c>
      <c r="O278" s="2" t="s">
        <v>1204</v>
      </c>
      <c r="P278" s="2">
        <v>32</v>
      </c>
      <c r="Q278" s="3">
        <v>1</v>
      </c>
      <c r="R278" s="3" t="s">
        <v>872</v>
      </c>
      <c r="S278" s="2" t="s">
        <v>907</v>
      </c>
    </row>
    <row r="279" spans="1:19" ht="15.4" customHeight="1" x14ac:dyDescent="0.45">
      <c r="A279" s="2" t="s">
        <v>1628</v>
      </c>
      <c r="B279" s="2" t="s">
        <v>1513</v>
      </c>
      <c r="C279" s="10"/>
      <c r="E279" s="15">
        <v>10</v>
      </c>
      <c r="F279" s="2" t="s">
        <v>1561</v>
      </c>
      <c r="G279" s="5" t="s">
        <v>690</v>
      </c>
      <c r="H279" s="2" t="s">
        <v>700</v>
      </c>
      <c r="I279" s="2" t="s">
        <v>712</v>
      </c>
      <c r="J279" s="2" t="s">
        <v>713</v>
      </c>
      <c r="K279" s="2" t="s">
        <v>9</v>
      </c>
      <c r="L279" s="2" t="s">
        <v>733</v>
      </c>
      <c r="M279" s="2" t="s">
        <v>11</v>
      </c>
      <c r="N279" s="2" t="s">
        <v>1453</v>
      </c>
      <c r="O279" s="2" t="s">
        <v>1204</v>
      </c>
      <c r="P279" s="2">
        <v>33</v>
      </c>
      <c r="Q279" s="3">
        <v>1</v>
      </c>
      <c r="R279" s="3" t="s">
        <v>889</v>
      </c>
      <c r="S279" s="2" t="s">
        <v>887</v>
      </c>
    </row>
    <row r="280" spans="1:19" ht="15.4" customHeight="1" x14ac:dyDescent="0.45">
      <c r="A280" s="2" t="s">
        <v>1629</v>
      </c>
      <c r="B280" s="2" t="s">
        <v>1513</v>
      </c>
      <c r="C280" s="10"/>
      <c r="E280" s="15">
        <v>11</v>
      </c>
      <c r="F280" s="2" t="s">
        <v>1561</v>
      </c>
      <c r="G280" s="5" t="s">
        <v>690</v>
      </c>
      <c r="H280" s="2" t="s">
        <v>555</v>
      </c>
      <c r="I280" s="2" t="s">
        <v>506</v>
      </c>
      <c r="J280" s="2" t="s">
        <v>556</v>
      </c>
      <c r="K280" s="2" t="s">
        <v>9</v>
      </c>
      <c r="L280" s="2" t="s">
        <v>630</v>
      </c>
      <c r="M280" s="2" t="s">
        <v>11</v>
      </c>
      <c r="N280" s="2" t="s">
        <v>1454</v>
      </c>
      <c r="O280" s="2" t="s">
        <v>1204</v>
      </c>
      <c r="P280" s="2">
        <v>33</v>
      </c>
      <c r="Q280" s="3">
        <v>1</v>
      </c>
      <c r="R280" s="3" t="s">
        <v>889</v>
      </c>
      <c r="S280" s="2" t="s">
        <v>887</v>
      </c>
    </row>
    <row r="281" spans="1:19" ht="15.4" customHeight="1" x14ac:dyDescent="0.45">
      <c r="A281" s="2" t="s">
        <v>1630</v>
      </c>
      <c r="B281" s="2" t="s">
        <v>1513</v>
      </c>
      <c r="C281" s="10"/>
      <c r="E281" s="15">
        <v>12</v>
      </c>
      <c r="F281" s="2" t="s">
        <v>1561</v>
      </c>
      <c r="G281" s="5" t="s">
        <v>690</v>
      </c>
      <c r="H281" s="2" t="s">
        <v>555</v>
      </c>
      <c r="I281" s="2" t="s">
        <v>557</v>
      </c>
      <c r="J281" s="2" t="s">
        <v>558</v>
      </c>
      <c r="K281" s="2" t="s">
        <v>9</v>
      </c>
      <c r="L281" s="2" t="s">
        <v>631</v>
      </c>
      <c r="M281" s="2" t="s">
        <v>11</v>
      </c>
      <c r="N281" s="2" t="s">
        <v>1455</v>
      </c>
      <c r="O281" s="2" t="s">
        <v>1204</v>
      </c>
      <c r="P281" s="2">
        <v>32</v>
      </c>
      <c r="Q281" s="3">
        <v>1</v>
      </c>
      <c r="R281" s="3" t="s">
        <v>872</v>
      </c>
      <c r="S281" s="2" t="s">
        <v>907</v>
      </c>
    </row>
    <row r="282" spans="1:19" ht="15.4" customHeight="1" x14ac:dyDescent="0.45">
      <c r="A282" s="2" t="s">
        <v>1631</v>
      </c>
      <c r="B282" s="2" t="s">
        <v>1513</v>
      </c>
      <c r="C282" s="10"/>
      <c r="E282" s="15">
        <v>13</v>
      </c>
      <c r="F282" s="2" t="s">
        <v>1561</v>
      </c>
      <c r="G282" s="5" t="s">
        <v>690</v>
      </c>
      <c r="H282" s="2" t="s">
        <v>555</v>
      </c>
      <c r="I282" s="2" t="s">
        <v>714</v>
      </c>
      <c r="J282" s="2" t="s">
        <v>715</v>
      </c>
      <c r="K282" s="2" t="s">
        <v>9</v>
      </c>
      <c r="L282" s="2" t="s">
        <v>734</v>
      </c>
      <c r="M282" s="2" t="s">
        <v>11</v>
      </c>
      <c r="N282" s="2" t="s">
        <v>1456</v>
      </c>
      <c r="O282" s="2" t="s">
        <v>1204</v>
      </c>
    </row>
    <row r="283" spans="1:19" ht="15.4" customHeight="1" x14ac:dyDescent="0.45">
      <c r="A283" s="2" t="s">
        <v>1632</v>
      </c>
      <c r="B283" s="2" t="s">
        <v>1513</v>
      </c>
      <c r="C283" s="10"/>
      <c r="E283" s="15">
        <v>14</v>
      </c>
      <c r="F283" s="2" t="s">
        <v>1561</v>
      </c>
      <c r="G283" s="5" t="s">
        <v>690</v>
      </c>
      <c r="H283" s="2" t="s">
        <v>555</v>
      </c>
      <c r="I283" s="2" t="s">
        <v>716</v>
      </c>
      <c r="J283" s="2" t="s">
        <v>717</v>
      </c>
      <c r="K283" s="2" t="s">
        <v>9</v>
      </c>
      <c r="L283" s="2" t="s">
        <v>735</v>
      </c>
      <c r="M283" s="2" t="s">
        <v>11</v>
      </c>
      <c r="N283" s="2" t="s">
        <v>1457</v>
      </c>
      <c r="O283" s="2" t="s">
        <v>1204</v>
      </c>
      <c r="P283" s="2">
        <v>32</v>
      </c>
      <c r="Q283" s="3">
        <v>1</v>
      </c>
      <c r="R283" s="3" t="s">
        <v>872</v>
      </c>
      <c r="S283" s="2" t="s">
        <v>907</v>
      </c>
    </row>
    <row r="284" spans="1:19" ht="15.4" customHeight="1" x14ac:dyDescent="0.45">
      <c r="A284" s="2" t="s">
        <v>1633</v>
      </c>
      <c r="B284" s="2" t="s">
        <v>1513</v>
      </c>
      <c r="C284" s="10"/>
      <c r="E284" s="15">
        <v>15</v>
      </c>
      <c r="F284" s="2" t="s">
        <v>1561</v>
      </c>
      <c r="G284" s="5" t="s">
        <v>690</v>
      </c>
      <c r="H284" s="2" t="s">
        <v>555</v>
      </c>
      <c r="I284" s="2" t="s">
        <v>559</v>
      </c>
      <c r="J284" s="2" t="s">
        <v>718</v>
      </c>
      <c r="K284" s="2" t="s">
        <v>9</v>
      </c>
      <c r="L284" s="2" t="s">
        <v>632</v>
      </c>
      <c r="M284" s="2" t="s">
        <v>11</v>
      </c>
      <c r="N284" s="2" t="s">
        <v>1458</v>
      </c>
      <c r="O284" s="2" t="s">
        <v>1204</v>
      </c>
    </row>
    <row r="285" spans="1:19" ht="15.4" customHeight="1" x14ac:dyDescent="0.45">
      <c r="A285" s="2" t="s">
        <v>1634</v>
      </c>
      <c r="B285" s="2" t="s">
        <v>1513</v>
      </c>
      <c r="C285" s="10"/>
      <c r="E285" s="15">
        <v>16</v>
      </c>
      <c r="F285" s="2" t="s">
        <v>1561</v>
      </c>
      <c r="G285" s="5" t="s">
        <v>690</v>
      </c>
      <c r="H285" s="2" t="s">
        <v>555</v>
      </c>
      <c r="I285" s="2" t="s">
        <v>719</v>
      </c>
      <c r="J285" s="2" t="s">
        <v>720</v>
      </c>
      <c r="K285" s="2" t="s">
        <v>9</v>
      </c>
      <c r="L285" s="2" t="s">
        <v>736</v>
      </c>
      <c r="M285" s="2" t="s">
        <v>11</v>
      </c>
      <c r="N285" s="2" t="s">
        <v>1459</v>
      </c>
      <c r="O285" s="2" t="s">
        <v>1204</v>
      </c>
    </row>
    <row r="286" spans="1:19" ht="15.4" customHeight="1" x14ac:dyDescent="0.45">
      <c r="A286" s="2" t="s">
        <v>1635</v>
      </c>
      <c r="B286" s="2" t="s">
        <v>1513</v>
      </c>
      <c r="C286" s="10"/>
      <c r="E286" s="15">
        <v>17</v>
      </c>
      <c r="F286" s="2" t="s">
        <v>1561</v>
      </c>
      <c r="G286" s="5" t="s">
        <v>690</v>
      </c>
      <c r="H286" s="2" t="s">
        <v>565</v>
      </c>
      <c r="I286" s="2" t="s">
        <v>672</v>
      </c>
      <c r="J286" s="2" t="s">
        <v>721</v>
      </c>
      <c r="K286" s="2" t="s">
        <v>9</v>
      </c>
      <c r="L286" s="2" t="s">
        <v>687</v>
      </c>
      <c r="M286" s="2" t="s">
        <v>11</v>
      </c>
      <c r="N286" s="2" t="s">
        <v>1460</v>
      </c>
      <c r="O286" s="2" t="s">
        <v>1204</v>
      </c>
      <c r="P286" s="2">
        <v>40</v>
      </c>
      <c r="Q286" s="3">
        <v>1</v>
      </c>
    </row>
    <row r="287" spans="1:19" ht="15.4" customHeight="1" x14ac:dyDescent="0.45">
      <c r="A287" s="2" t="s">
        <v>1636</v>
      </c>
      <c r="B287" s="2" t="s">
        <v>1513</v>
      </c>
      <c r="C287" s="10"/>
      <c r="E287" s="15">
        <v>18</v>
      </c>
      <c r="F287" s="2" t="s">
        <v>1561</v>
      </c>
      <c r="G287" s="5" t="s">
        <v>690</v>
      </c>
      <c r="H287" s="2" t="s">
        <v>565</v>
      </c>
      <c r="I287" s="2" t="s">
        <v>722</v>
      </c>
      <c r="J287" s="2" t="s">
        <v>568</v>
      </c>
      <c r="K287" s="2" t="s">
        <v>9</v>
      </c>
      <c r="L287" s="2" t="s">
        <v>636</v>
      </c>
      <c r="M287" s="2" t="s">
        <v>11</v>
      </c>
      <c r="N287" s="2" t="s">
        <v>1461</v>
      </c>
      <c r="O287" s="2" t="s">
        <v>1204</v>
      </c>
      <c r="P287" s="2">
        <v>40</v>
      </c>
      <c r="Q287" s="3">
        <v>1</v>
      </c>
    </row>
    <row r="288" spans="1:19" ht="15.4" customHeight="1" x14ac:dyDescent="0.45">
      <c r="A288" s="2" t="s">
        <v>1637</v>
      </c>
      <c r="B288" s="2" t="s">
        <v>1513</v>
      </c>
      <c r="C288" s="10"/>
      <c r="E288" s="15">
        <v>19</v>
      </c>
      <c r="F288" s="2" t="s">
        <v>1561</v>
      </c>
      <c r="G288" s="5" t="s">
        <v>690</v>
      </c>
      <c r="H288" s="2" t="s">
        <v>565</v>
      </c>
      <c r="I288" s="2" t="s">
        <v>569</v>
      </c>
      <c r="J288" s="2" t="s">
        <v>723</v>
      </c>
      <c r="K288" s="2" t="s">
        <v>9</v>
      </c>
      <c r="L288" s="2" t="s">
        <v>637</v>
      </c>
      <c r="M288" s="2" t="s">
        <v>11</v>
      </c>
      <c r="N288" s="2" t="s">
        <v>1462</v>
      </c>
      <c r="O288" s="2" t="s">
        <v>1204</v>
      </c>
    </row>
    <row r="289" spans="1:19" ht="15.4" customHeight="1" x14ac:dyDescent="0.45">
      <c r="A289" s="2" t="s">
        <v>1638</v>
      </c>
      <c r="B289" s="2" t="s">
        <v>1513</v>
      </c>
      <c r="C289" s="10"/>
      <c r="E289" s="15">
        <v>20</v>
      </c>
      <c r="F289" s="2" t="s">
        <v>1561</v>
      </c>
      <c r="G289" s="5" t="s">
        <v>690</v>
      </c>
      <c r="H289" s="2" t="s">
        <v>571</v>
      </c>
      <c r="I289" s="2" t="s">
        <v>572</v>
      </c>
      <c r="J289" s="2" t="s">
        <v>724</v>
      </c>
      <c r="K289" s="2" t="s">
        <v>9</v>
      </c>
      <c r="L289" s="2" t="s">
        <v>638</v>
      </c>
      <c r="M289" s="2" t="s">
        <v>11</v>
      </c>
      <c r="N289" s="2" t="s">
        <v>1463</v>
      </c>
      <c r="O289" s="2" t="s">
        <v>1204</v>
      </c>
    </row>
    <row r="290" spans="1:19" ht="15.4" customHeight="1" x14ac:dyDescent="0.45">
      <c r="A290" s="2" t="s">
        <v>1639</v>
      </c>
      <c r="B290" s="2" t="s">
        <v>1513</v>
      </c>
      <c r="C290" s="10"/>
      <c r="E290" s="15">
        <v>21</v>
      </c>
      <c r="F290" s="2" t="s">
        <v>1561</v>
      </c>
      <c r="G290" s="5" t="s">
        <v>690</v>
      </c>
      <c r="H290" s="2" t="s">
        <v>571</v>
      </c>
      <c r="I290" s="2" t="s">
        <v>639</v>
      </c>
      <c r="J290" s="2" t="s">
        <v>574</v>
      </c>
      <c r="K290" s="2" t="s">
        <v>9</v>
      </c>
      <c r="L290" s="2" t="s">
        <v>737</v>
      </c>
      <c r="M290" s="2" t="s">
        <v>11</v>
      </c>
      <c r="N290" s="2" t="s">
        <v>1464</v>
      </c>
      <c r="O290" s="2" t="s">
        <v>1204</v>
      </c>
    </row>
    <row r="291" spans="1:19" ht="15.4" customHeight="1" x14ac:dyDescent="0.45">
      <c r="A291" s="2" t="s">
        <v>1640</v>
      </c>
      <c r="B291" s="2" t="s">
        <v>1513</v>
      </c>
      <c r="C291" s="10"/>
      <c r="E291" s="15">
        <v>22</v>
      </c>
      <c r="F291" s="2" t="s">
        <v>1561</v>
      </c>
      <c r="G291" s="5" t="s">
        <v>690</v>
      </c>
      <c r="H291" s="2" t="s">
        <v>571</v>
      </c>
      <c r="I291" s="2" t="s">
        <v>641</v>
      </c>
      <c r="J291" s="2" t="s">
        <v>574</v>
      </c>
      <c r="K291" s="2" t="s">
        <v>9</v>
      </c>
      <c r="L291" s="2" t="s">
        <v>738</v>
      </c>
      <c r="M291" s="2" t="s">
        <v>11</v>
      </c>
      <c r="N291" s="2" t="s">
        <v>1465</v>
      </c>
      <c r="O291" s="2" t="s">
        <v>1204</v>
      </c>
    </row>
    <row r="292" spans="1:19" ht="15.4" customHeight="1" x14ac:dyDescent="0.45">
      <c r="A292" s="2" t="s">
        <v>1641</v>
      </c>
      <c r="B292" s="2" t="s">
        <v>1513</v>
      </c>
      <c r="C292" s="10"/>
      <c r="E292" s="15">
        <v>23</v>
      </c>
      <c r="F292" s="2" t="s">
        <v>1561</v>
      </c>
      <c r="G292" s="5" t="s">
        <v>690</v>
      </c>
      <c r="H292" s="2" t="s">
        <v>571</v>
      </c>
      <c r="I292" s="2" t="s">
        <v>575</v>
      </c>
      <c r="J292" s="2" t="s">
        <v>576</v>
      </c>
      <c r="K292" s="2" t="s">
        <v>9</v>
      </c>
      <c r="L292" s="2" t="s">
        <v>577</v>
      </c>
      <c r="M292" s="2" t="s">
        <v>11</v>
      </c>
      <c r="N292" s="2" t="s">
        <v>1466</v>
      </c>
      <c r="O292" s="2" t="s">
        <v>1204</v>
      </c>
    </row>
    <row r="293" spans="1:19" ht="15.4" customHeight="1" x14ac:dyDescent="0.45">
      <c r="A293" s="2" t="s">
        <v>1547</v>
      </c>
      <c r="B293" s="2" t="s">
        <v>1514</v>
      </c>
      <c r="C293" s="10" t="s">
        <v>1584</v>
      </c>
      <c r="E293" s="15">
        <v>1</v>
      </c>
      <c r="G293" s="5" t="s">
        <v>1530</v>
      </c>
      <c r="J293" s="2" t="s">
        <v>1537</v>
      </c>
      <c r="O293" s="2"/>
    </row>
    <row r="294" spans="1:19" ht="15.4" customHeight="1" x14ac:dyDescent="0.45">
      <c r="A294" s="2" t="s">
        <v>1175</v>
      </c>
      <c r="B294" s="2" t="s">
        <v>1514</v>
      </c>
      <c r="C294" s="10"/>
      <c r="E294" s="15">
        <v>2</v>
      </c>
      <c r="F294" s="2" t="s">
        <v>1562</v>
      </c>
      <c r="G294" s="5" t="s">
        <v>1515</v>
      </c>
      <c r="H294" s="2" t="s">
        <v>825</v>
      </c>
      <c r="I294" s="2" t="s">
        <v>739</v>
      </c>
      <c r="J294" s="2" t="s">
        <v>740</v>
      </c>
      <c r="K294" s="2" t="s">
        <v>9</v>
      </c>
      <c r="L294" s="2" t="s">
        <v>741</v>
      </c>
      <c r="M294" s="2" t="s">
        <v>11</v>
      </c>
      <c r="N294" s="2" t="s">
        <v>1467</v>
      </c>
      <c r="O294" s="2" t="s">
        <v>1204</v>
      </c>
      <c r="P294" s="2">
        <v>40</v>
      </c>
      <c r="Q294" s="3">
        <v>1</v>
      </c>
      <c r="R294" s="3" t="s">
        <v>875</v>
      </c>
      <c r="S294" s="2" t="s">
        <v>876</v>
      </c>
    </row>
    <row r="295" spans="1:19" ht="15.4" customHeight="1" x14ac:dyDescent="0.45">
      <c r="A295" s="2" t="s">
        <v>1176</v>
      </c>
      <c r="B295" s="2" t="s">
        <v>1514</v>
      </c>
      <c r="C295" s="10"/>
      <c r="E295" s="15">
        <v>3</v>
      </c>
      <c r="F295" s="2" t="s">
        <v>1562</v>
      </c>
      <c r="G295" s="5" t="s">
        <v>1515</v>
      </c>
      <c r="H295" s="2" t="s">
        <v>742</v>
      </c>
      <c r="I295" s="2" t="s">
        <v>742</v>
      </c>
      <c r="J295" s="2" t="s">
        <v>743</v>
      </c>
      <c r="K295" s="2" t="s">
        <v>9</v>
      </c>
      <c r="L295" s="2" t="s">
        <v>800</v>
      </c>
      <c r="M295" s="2" t="s">
        <v>11</v>
      </c>
      <c r="N295" s="2" t="s">
        <v>1468</v>
      </c>
      <c r="O295" s="2" t="s">
        <v>1204</v>
      </c>
      <c r="P295" s="2">
        <v>40</v>
      </c>
      <c r="Q295" s="3">
        <v>1</v>
      </c>
      <c r="R295" s="3" t="s">
        <v>875</v>
      </c>
      <c r="S295" s="2" t="s">
        <v>876</v>
      </c>
    </row>
    <row r="296" spans="1:19" ht="15.4" customHeight="1" x14ac:dyDescent="0.45">
      <c r="A296" s="2" t="s">
        <v>1177</v>
      </c>
      <c r="B296" s="2" t="s">
        <v>1514</v>
      </c>
      <c r="C296" s="10"/>
      <c r="E296" s="15">
        <v>4</v>
      </c>
      <c r="F296" s="2" t="s">
        <v>1562</v>
      </c>
      <c r="G296" s="5" t="s">
        <v>1515</v>
      </c>
      <c r="H296" s="2" t="s">
        <v>742</v>
      </c>
      <c r="I296" s="2" t="s">
        <v>744</v>
      </c>
      <c r="J296" s="2" t="s">
        <v>745</v>
      </c>
      <c r="K296" s="2" t="s">
        <v>9</v>
      </c>
      <c r="L296" s="2" t="s">
        <v>801</v>
      </c>
      <c r="M296" s="2" t="s">
        <v>11</v>
      </c>
      <c r="N296" s="2" t="s">
        <v>1469</v>
      </c>
      <c r="O296" s="2" t="s">
        <v>1204</v>
      </c>
      <c r="P296" s="2">
        <v>40</v>
      </c>
      <c r="Q296" s="3">
        <v>1</v>
      </c>
      <c r="R296" s="3" t="s">
        <v>875</v>
      </c>
      <c r="S296" s="2" t="s">
        <v>876</v>
      </c>
    </row>
    <row r="297" spans="1:19" ht="15.4" customHeight="1" x14ac:dyDescent="0.45">
      <c r="A297" s="2" t="s">
        <v>1178</v>
      </c>
      <c r="B297" s="2" t="s">
        <v>1514</v>
      </c>
      <c r="C297" s="10"/>
      <c r="E297" s="15">
        <v>5</v>
      </c>
      <c r="F297" s="2" t="s">
        <v>1562</v>
      </c>
      <c r="G297" s="5" t="s">
        <v>1515</v>
      </c>
      <c r="H297" s="2" t="s">
        <v>746</v>
      </c>
      <c r="I297" s="2" t="s">
        <v>747</v>
      </c>
      <c r="J297" s="2" t="s">
        <v>748</v>
      </c>
      <c r="K297" s="2" t="s">
        <v>9</v>
      </c>
      <c r="L297" s="2" t="s">
        <v>802</v>
      </c>
      <c r="M297" s="2" t="s">
        <v>11</v>
      </c>
      <c r="N297" s="2" t="s">
        <v>1470</v>
      </c>
      <c r="O297" s="2" t="s">
        <v>1204</v>
      </c>
      <c r="P297" s="2">
        <v>40</v>
      </c>
      <c r="Q297" s="3">
        <v>1</v>
      </c>
      <c r="R297" s="3" t="s">
        <v>875</v>
      </c>
      <c r="S297" s="2" t="s">
        <v>876</v>
      </c>
    </row>
    <row r="298" spans="1:19" ht="15.4" customHeight="1" x14ac:dyDescent="0.45">
      <c r="A298" s="2" t="s">
        <v>1179</v>
      </c>
      <c r="B298" s="2" t="s">
        <v>1514</v>
      </c>
      <c r="C298" s="10"/>
      <c r="E298" s="15">
        <v>6</v>
      </c>
      <c r="F298" s="2" t="s">
        <v>1562</v>
      </c>
      <c r="G298" s="5" t="s">
        <v>1515</v>
      </c>
      <c r="H298" s="2" t="s">
        <v>749</v>
      </c>
      <c r="I298" s="2" t="s">
        <v>750</v>
      </c>
      <c r="J298" s="2" t="s">
        <v>751</v>
      </c>
      <c r="K298" s="2" t="s">
        <v>9</v>
      </c>
      <c r="L298" s="2" t="s">
        <v>803</v>
      </c>
      <c r="M298" s="2" t="s">
        <v>11</v>
      </c>
      <c r="N298" s="2" t="s">
        <v>1471</v>
      </c>
      <c r="O298" s="2" t="s">
        <v>1204</v>
      </c>
      <c r="P298" s="2">
        <v>40</v>
      </c>
      <c r="Q298" s="3">
        <v>1</v>
      </c>
      <c r="R298" s="3" t="s">
        <v>875</v>
      </c>
      <c r="S298" s="2" t="s">
        <v>876</v>
      </c>
    </row>
    <row r="299" spans="1:19" ht="15.4" customHeight="1" x14ac:dyDescent="0.45">
      <c r="A299" s="2" t="s">
        <v>1180</v>
      </c>
      <c r="B299" s="2" t="s">
        <v>1514</v>
      </c>
      <c r="C299" s="10"/>
      <c r="E299" s="15">
        <v>7</v>
      </c>
      <c r="F299" s="2" t="s">
        <v>1562</v>
      </c>
      <c r="G299" s="5" t="s">
        <v>1515</v>
      </c>
      <c r="H299" s="2" t="s">
        <v>749</v>
      </c>
      <c r="I299" s="2" t="s">
        <v>752</v>
      </c>
      <c r="J299" s="2" t="s">
        <v>753</v>
      </c>
      <c r="K299" s="2" t="s">
        <v>9</v>
      </c>
      <c r="L299" s="2" t="s">
        <v>804</v>
      </c>
      <c r="M299" s="2" t="s">
        <v>11</v>
      </c>
      <c r="N299" s="2" t="s">
        <v>1472</v>
      </c>
      <c r="O299" s="2" t="s">
        <v>1204</v>
      </c>
      <c r="P299" s="2">
        <v>40</v>
      </c>
      <c r="Q299" s="3">
        <v>1</v>
      </c>
      <c r="R299" s="3" t="s">
        <v>875</v>
      </c>
      <c r="S299" s="2" t="s">
        <v>876</v>
      </c>
    </row>
    <row r="300" spans="1:19" ht="15.4" customHeight="1" x14ac:dyDescent="0.45">
      <c r="A300" s="2" t="s">
        <v>1181</v>
      </c>
      <c r="B300" s="2" t="s">
        <v>1514</v>
      </c>
      <c r="C300" s="10"/>
      <c r="E300" s="15">
        <v>8</v>
      </c>
      <c r="F300" s="2" t="s">
        <v>1562</v>
      </c>
      <c r="G300" s="5" t="s">
        <v>1515</v>
      </c>
      <c r="H300" s="2" t="s">
        <v>754</v>
      </c>
      <c r="I300" s="2" t="s">
        <v>527</v>
      </c>
      <c r="J300" s="2" t="s">
        <v>755</v>
      </c>
      <c r="K300" s="2" t="s">
        <v>9</v>
      </c>
      <c r="L300" s="2" t="s">
        <v>805</v>
      </c>
      <c r="M300" s="2" t="s">
        <v>11</v>
      </c>
      <c r="N300" s="2" t="s">
        <v>1473</v>
      </c>
      <c r="O300" s="2" t="s">
        <v>1204</v>
      </c>
      <c r="P300" s="2">
        <v>40</v>
      </c>
      <c r="Q300" s="3">
        <v>1</v>
      </c>
      <c r="R300" s="3" t="s">
        <v>875</v>
      </c>
      <c r="S300" s="2" t="s">
        <v>876</v>
      </c>
    </row>
    <row r="301" spans="1:19" ht="15.4" customHeight="1" x14ac:dyDescent="0.45">
      <c r="A301" s="2" t="s">
        <v>1182</v>
      </c>
      <c r="B301" s="2" t="s">
        <v>1514</v>
      </c>
      <c r="C301" s="10"/>
      <c r="E301" s="15">
        <v>9</v>
      </c>
      <c r="F301" s="2" t="s">
        <v>1562</v>
      </c>
      <c r="G301" s="5" t="s">
        <v>1515</v>
      </c>
      <c r="H301" s="2" t="s">
        <v>754</v>
      </c>
      <c r="I301" s="2" t="s">
        <v>756</v>
      </c>
      <c r="J301" s="2" t="s">
        <v>757</v>
      </c>
      <c r="K301" s="2" t="s">
        <v>9</v>
      </c>
      <c r="L301" s="2" t="s">
        <v>806</v>
      </c>
      <c r="M301" s="2" t="s">
        <v>11</v>
      </c>
      <c r="N301" s="2" t="s">
        <v>1474</v>
      </c>
      <c r="O301" s="2" t="s">
        <v>1204</v>
      </c>
      <c r="P301" s="2">
        <v>40</v>
      </c>
      <c r="Q301" s="3">
        <v>1</v>
      </c>
      <c r="R301" s="3" t="s">
        <v>875</v>
      </c>
      <c r="S301" s="2" t="s">
        <v>876</v>
      </c>
    </row>
    <row r="302" spans="1:19" ht="15.4" customHeight="1" x14ac:dyDescent="0.45">
      <c r="A302" s="2" t="s">
        <v>1183</v>
      </c>
      <c r="B302" s="2" t="s">
        <v>1514</v>
      </c>
      <c r="C302" s="10"/>
      <c r="E302" s="15">
        <v>10</v>
      </c>
      <c r="F302" s="2" t="s">
        <v>1562</v>
      </c>
      <c r="G302" s="5" t="s">
        <v>1515</v>
      </c>
      <c r="H302" s="2" t="s">
        <v>754</v>
      </c>
      <c r="I302" s="2" t="s">
        <v>758</v>
      </c>
      <c r="J302" s="2" t="s">
        <v>759</v>
      </c>
      <c r="K302" s="2" t="s">
        <v>9</v>
      </c>
      <c r="L302" s="2" t="s">
        <v>760</v>
      </c>
      <c r="M302" s="2" t="s">
        <v>11</v>
      </c>
      <c r="N302" s="2" t="s">
        <v>1475</v>
      </c>
      <c r="O302" s="2" t="s">
        <v>1204</v>
      </c>
      <c r="P302" s="2">
        <v>40</v>
      </c>
      <c r="Q302" s="3">
        <v>1</v>
      </c>
      <c r="R302" s="3" t="s">
        <v>875</v>
      </c>
      <c r="S302" s="2" t="s">
        <v>876</v>
      </c>
    </row>
    <row r="303" spans="1:19" ht="15.4" customHeight="1" x14ac:dyDescent="0.45">
      <c r="A303" s="2" t="s">
        <v>1184</v>
      </c>
      <c r="B303" s="2" t="s">
        <v>1514</v>
      </c>
      <c r="C303" s="10"/>
      <c r="E303" s="15">
        <v>11</v>
      </c>
      <c r="F303" s="2" t="s">
        <v>1562</v>
      </c>
      <c r="G303" s="5" t="s">
        <v>1515</v>
      </c>
      <c r="H303" s="2" t="s">
        <v>754</v>
      </c>
      <c r="I303" s="2" t="s">
        <v>761</v>
      </c>
      <c r="J303" s="2" t="s">
        <v>762</v>
      </c>
      <c r="K303" s="2" t="s">
        <v>9</v>
      </c>
      <c r="L303" s="2" t="s">
        <v>807</v>
      </c>
      <c r="M303" s="2" t="s">
        <v>11</v>
      </c>
      <c r="N303" s="2" t="s">
        <v>1476</v>
      </c>
      <c r="O303" s="2" t="s">
        <v>1204</v>
      </c>
      <c r="P303" s="2">
        <v>40</v>
      </c>
      <c r="Q303" s="3">
        <v>1</v>
      </c>
      <c r="R303" s="3" t="s">
        <v>875</v>
      </c>
      <c r="S303" s="2" t="s">
        <v>876</v>
      </c>
    </row>
    <row r="304" spans="1:19" ht="15.4" customHeight="1" x14ac:dyDescent="0.45">
      <c r="A304" s="2" t="s">
        <v>1185</v>
      </c>
      <c r="B304" s="2" t="s">
        <v>1514</v>
      </c>
      <c r="C304" s="10"/>
      <c r="E304" s="15">
        <v>12</v>
      </c>
      <c r="F304" s="2" t="s">
        <v>1562</v>
      </c>
      <c r="G304" s="5" t="s">
        <v>1515</v>
      </c>
      <c r="H304" s="2" t="s">
        <v>754</v>
      </c>
      <c r="I304" s="2" t="s">
        <v>763</v>
      </c>
      <c r="J304" s="2" t="s">
        <v>764</v>
      </c>
      <c r="K304" s="2" t="s">
        <v>9</v>
      </c>
      <c r="L304" s="2" t="s">
        <v>808</v>
      </c>
      <c r="M304" s="2" t="s">
        <v>11</v>
      </c>
      <c r="N304" s="2" t="s">
        <v>1477</v>
      </c>
      <c r="O304" s="2" t="s">
        <v>1204</v>
      </c>
      <c r="P304" s="2">
        <v>40</v>
      </c>
      <c r="Q304" s="3">
        <v>1</v>
      </c>
      <c r="R304" s="3" t="s">
        <v>875</v>
      </c>
      <c r="S304" s="2" t="s">
        <v>876</v>
      </c>
    </row>
    <row r="305" spans="1:19" ht="15.4" customHeight="1" x14ac:dyDescent="0.45">
      <c r="A305" s="2" t="s">
        <v>1186</v>
      </c>
      <c r="B305" s="2" t="s">
        <v>1514</v>
      </c>
      <c r="C305" s="10"/>
      <c r="E305" s="15">
        <v>13</v>
      </c>
      <c r="F305" s="2" t="s">
        <v>1562</v>
      </c>
      <c r="G305" s="5" t="s">
        <v>1515</v>
      </c>
      <c r="H305" s="2" t="s">
        <v>754</v>
      </c>
      <c r="I305" s="2" t="s">
        <v>765</v>
      </c>
      <c r="J305" s="2" t="s">
        <v>766</v>
      </c>
      <c r="K305" s="2" t="s">
        <v>9</v>
      </c>
      <c r="L305" s="2" t="s">
        <v>809</v>
      </c>
      <c r="M305" s="2" t="s">
        <v>11</v>
      </c>
      <c r="N305" s="2" t="s">
        <v>1478</v>
      </c>
      <c r="O305" s="2" t="s">
        <v>1204</v>
      </c>
      <c r="P305" s="2">
        <v>40</v>
      </c>
      <c r="Q305" s="3">
        <v>1</v>
      </c>
      <c r="R305" s="3" t="s">
        <v>875</v>
      </c>
      <c r="S305" s="2" t="s">
        <v>876</v>
      </c>
    </row>
    <row r="306" spans="1:19" ht="15.4" customHeight="1" x14ac:dyDescent="0.45">
      <c r="A306" s="2" t="s">
        <v>1187</v>
      </c>
      <c r="B306" s="2" t="s">
        <v>1514</v>
      </c>
      <c r="C306" s="10"/>
      <c r="E306" s="15">
        <v>14</v>
      </c>
      <c r="F306" s="2" t="s">
        <v>1562</v>
      </c>
      <c r="G306" s="5" t="s">
        <v>1515</v>
      </c>
      <c r="H306" s="2" t="s">
        <v>754</v>
      </c>
      <c r="I306" s="2" t="s">
        <v>767</v>
      </c>
      <c r="J306" s="2" t="s">
        <v>768</v>
      </c>
      <c r="K306" s="2" t="s">
        <v>9</v>
      </c>
      <c r="L306" s="2" t="s">
        <v>769</v>
      </c>
      <c r="M306" s="2" t="s">
        <v>11</v>
      </c>
      <c r="N306" s="2" t="s">
        <v>1479</v>
      </c>
      <c r="O306" s="2" t="s">
        <v>1204</v>
      </c>
      <c r="P306" s="2">
        <v>40</v>
      </c>
      <c r="Q306" s="3">
        <v>1</v>
      </c>
      <c r="R306" s="3" t="s">
        <v>875</v>
      </c>
      <c r="S306" s="2" t="s">
        <v>876</v>
      </c>
    </row>
    <row r="307" spans="1:19" ht="15.4" customHeight="1" x14ac:dyDescent="0.45">
      <c r="A307" s="2" t="s">
        <v>1188</v>
      </c>
      <c r="B307" s="2" t="s">
        <v>1514</v>
      </c>
      <c r="C307" s="10"/>
      <c r="E307" s="15">
        <v>15</v>
      </c>
      <c r="F307" s="2" t="s">
        <v>1562</v>
      </c>
      <c r="G307" s="5" t="s">
        <v>1515</v>
      </c>
      <c r="H307" s="2" t="s">
        <v>754</v>
      </c>
      <c r="I307" s="2" t="s">
        <v>770</v>
      </c>
      <c r="J307" s="2" t="s">
        <v>771</v>
      </c>
      <c r="K307" s="2" t="s">
        <v>9</v>
      </c>
      <c r="L307" s="2" t="s">
        <v>810</v>
      </c>
      <c r="M307" s="2" t="s">
        <v>11</v>
      </c>
      <c r="N307" s="2" t="s">
        <v>1480</v>
      </c>
      <c r="O307" s="2" t="s">
        <v>1204</v>
      </c>
      <c r="P307" s="2">
        <v>40</v>
      </c>
      <c r="Q307" s="3">
        <v>1</v>
      </c>
      <c r="R307" s="3" t="s">
        <v>875</v>
      </c>
      <c r="S307" s="2" t="s">
        <v>876</v>
      </c>
    </row>
    <row r="308" spans="1:19" ht="15.4" customHeight="1" x14ac:dyDescent="0.45">
      <c r="A308" s="2" t="s">
        <v>1189</v>
      </c>
      <c r="B308" s="2" t="s">
        <v>1514</v>
      </c>
      <c r="C308" s="10"/>
      <c r="E308" s="15">
        <v>16</v>
      </c>
      <c r="F308" s="2" t="s">
        <v>1562</v>
      </c>
      <c r="G308" s="5" t="s">
        <v>1515</v>
      </c>
      <c r="H308" s="2" t="s">
        <v>754</v>
      </c>
      <c r="I308" s="2" t="s">
        <v>772</v>
      </c>
      <c r="J308" s="2" t="s">
        <v>773</v>
      </c>
      <c r="K308" s="2" t="s">
        <v>9</v>
      </c>
      <c r="L308" s="2" t="s">
        <v>774</v>
      </c>
      <c r="M308" s="2" t="s">
        <v>11</v>
      </c>
      <c r="N308" s="2" t="s">
        <v>1481</v>
      </c>
      <c r="O308" s="2" t="s">
        <v>1204</v>
      </c>
      <c r="P308" s="2">
        <v>40</v>
      </c>
      <c r="Q308" s="3">
        <v>1</v>
      </c>
      <c r="R308" s="3" t="s">
        <v>875</v>
      </c>
      <c r="S308" s="2" t="s">
        <v>876</v>
      </c>
    </row>
    <row r="309" spans="1:19" ht="15.4" customHeight="1" x14ac:dyDescent="0.45">
      <c r="A309" s="2" t="s">
        <v>1190</v>
      </c>
      <c r="B309" s="2" t="s">
        <v>1514</v>
      </c>
      <c r="C309" s="10"/>
      <c r="E309" s="15">
        <v>17</v>
      </c>
      <c r="F309" s="2" t="s">
        <v>1562</v>
      </c>
      <c r="G309" s="5" t="s">
        <v>1515</v>
      </c>
      <c r="H309" s="2" t="s">
        <v>754</v>
      </c>
      <c r="I309" s="2" t="s">
        <v>775</v>
      </c>
      <c r="J309" s="2" t="s">
        <v>776</v>
      </c>
      <c r="K309" s="2" t="s">
        <v>9</v>
      </c>
      <c r="L309" s="2" t="s">
        <v>811</v>
      </c>
      <c r="M309" s="2" t="s">
        <v>11</v>
      </c>
      <c r="N309" s="2" t="s">
        <v>1482</v>
      </c>
      <c r="O309" s="2" t="s">
        <v>1204</v>
      </c>
      <c r="P309" s="2">
        <v>40</v>
      </c>
      <c r="Q309" s="3">
        <v>1</v>
      </c>
      <c r="R309" s="3" t="s">
        <v>875</v>
      </c>
      <c r="S309" s="2" t="s">
        <v>876</v>
      </c>
    </row>
    <row r="310" spans="1:19" ht="15.4" customHeight="1" x14ac:dyDescent="0.45">
      <c r="A310" s="2" t="s">
        <v>1191</v>
      </c>
      <c r="B310" s="2" t="s">
        <v>1514</v>
      </c>
      <c r="C310" s="10"/>
      <c r="E310" s="15">
        <v>18</v>
      </c>
      <c r="F310" s="2" t="s">
        <v>1562</v>
      </c>
      <c r="G310" s="5" t="s">
        <v>1515</v>
      </c>
      <c r="H310" s="2" t="s">
        <v>754</v>
      </c>
      <c r="I310" s="2" t="s">
        <v>777</v>
      </c>
      <c r="J310" s="2" t="s">
        <v>778</v>
      </c>
      <c r="K310" s="2" t="s">
        <v>9</v>
      </c>
      <c r="L310" s="2" t="s">
        <v>812</v>
      </c>
      <c r="M310" s="2" t="s">
        <v>11</v>
      </c>
      <c r="N310" s="2" t="s">
        <v>1483</v>
      </c>
      <c r="O310" s="2" t="s">
        <v>1204</v>
      </c>
      <c r="P310" s="2">
        <v>40</v>
      </c>
      <c r="Q310" s="3">
        <v>1</v>
      </c>
      <c r="R310" s="3" t="s">
        <v>875</v>
      </c>
      <c r="S310" s="2" t="s">
        <v>876</v>
      </c>
    </row>
    <row r="311" spans="1:19" ht="15.4" customHeight="1" x14ac:dyDescent="0.45">
      <c r="A311" s="2" t="s">
        <v>1192</v>
      </c>
      <c r="B311" s="2" t="s">
        <v>1514</v>
      </c>
      <c r="C311" s="10"/>
      <c r="E311" s="15">
        <v>19</v>
      </c>
      <c r="F311" s="2" t="s">
        <v>1562</v>
      </c>
      <c r="G311" s="5" t="s">
        <v>1515</v>
      </c>
      <c r="H311" s="2" t="s">
        <v>779</v>
      </c>
      <c r="I311" s="2" t="s">
        <v>527</v>
      </c>
      <c r="J311" s="2" t="s">
        <v>755</v>
      </c>
      <c r="K311" s="2" t="s">
        <v>9</v>
      </c>
      <c r="L311" s="2" t="s">
        <v>805</v>
      </c>
      <c r="M311" s="2" t="s">
        <v>11</v>
      </c>
      <c r="N311" s="2" t="s">
        <v>1484</v>
      </c>
      <c r="O311" s="2" t="s">
        <v>1204</v>
      </c>
      <c r="P311" s="2">
        <v>40</v>
      </c>
      <c r="Q311" s="3">
        <v>1</v>
      </c>
      <c r="R311" s="3" t="s">
        <v>875</v>
      </c>
      <c r="S311" s="2" t="s">
        <v>876</v>
      </c>
    </row>
    <row r="312" spans="1:19" ht="15.4" customHeight="1" x14ac:dyDescent="0.45">
      <c r="A312" s="2" t="s">
        <v>1193</v>
      </c>
      <c r="B312" s="2" t="s">
        <v>1514</v>
      </c>
      <c r="C312" s="10"/>
      <c r="E312" s="15">
        <v>20</v>
      </c>
      <c r="F312" s="2" t="s">
        <v>1562</v>
      </c>
      <c r="G312" s="5" t="s">
        <v>1515</v>
      </c>
      <c r="H312" s="2" t="s">
        <v>779</v>
      </c>
      <c r="I312" s="2" t="s">
        <v>756</v>
      </c>
      <c r="J312" s="2" t="s">
        <v>757</v>
      </c>
      <c r="K312" s="2" t="s">
        <v>9</v>
      </c>
      <c r="L312" s="2" t="s">
        <v>813</v>
      </c>
      <c r="M312" s="2" t="s">
        <v>11</v>
      </c>
      <c r="N312" s="2" t="s">
        <v>1485</v>
      </c>
      <c r="O312" s="2" t="s">
        <v>1204</v>
      </c>
      <c r="P312" s="2">
        <v>40</v>
      </c>
      <c r="Q312" s="3">
        <v>1</v>
      </c>
      <c r="R312" s="3" t="s">
        <v>875</v>
      </c>
      <c r="S312" s="2" t="s">
        <v>876</v>
      </c>
    </row>
    <row r="313" spans="1:19" ht="15.4" customHeight="1" x14ac:dyDescent="0.45">
      <c r="A313" s="2" t="s">
        <v>1194</v>
      </c>
      <c r="B313" s="2" t="s">
        <v>1514</v>
      </c>
      <c r="C313" s="10"/>
      <c r="E313" s="15">
        <v>21</v>
      </c>
      <c r="F313" s="2" t="s">
        <v>1562</v>
      </c>
      <c r="G313" s="5" t="s">
        <v>1515</v>
      </c>
      <c r="H313" s="2" t="s">
        <v>779</v>
      </c>
      <c r="I313" s="2" t="s">
        <v>758</v>
      </c>
      <c r="J313" s="2" t="s">
        <v>780</v>
      </c>
      <c r="K313" s="2" t="s">
        <v>9</v>
      </c>
      <c r="L313" s="2" t="s">
        <v>814</v>
      </c>
      <c r="M313" s="2" t="s">
        <v>11</v>
      </c>
      <c r="N313" s="2" t="s">
        <v>1486</v>
      </c>
      <c r="O313" s="2" t="s">
        <v>1204</v>
      </c>
      <c r="P313" s="2">
        <v>40</v>
      </c>
      <c r="Q313" s="3">
        <v>1</v>
      </c>
      <c r="R313" s="3" t="s">
        <v>875</v>
      </c>
      <c r="S313" s="2" t="s">
        <v>876</v>
      </c>
    </row>
    <row r="314" spans="1:19" ht="15.4" customHeight="1" x14ac:dyDescent="0.45">
      <c r="A314" s="2" t="s">
        <v>1195</v>
      </c>
      <c r="B314" s="2" t="s">
        <v>1514</v>
      </c>
      <c r="C314" s="10"/>
      <c r="E314" s="15">
        <v>22</v>
      </c>
      <c r="F314" s="2" t="s">
        <v>1562</v>
      </c>
      <c r="G314" s="5" t="s">
        <v>1515</v>
      </c>
      <c r="H314" s="2" t="s">
        <v>779</v>
      </c>
      <c r="I314" s="2" t="s">
        <v>761</v>
      </c>
      <c r="J314" s="2" t="s">
        <v>762</v>
      </c>
      <c r="K314" s="2" t="s">
        <v>9</v>
      </c>
      <c r="L314" s="2" t="s">
        <v>807</v>
      </c>
      <c r="M314" s="2" t="s">
        <v>11</v>
      </c>
      <c r="N314" s="2" t="s">
        <v>1487</v>
      </c>
      <c r="O314" s="2" t="s">
        <v>1204</v>
      </c>
      <c r="P314" s="2">
        <v>40</v>
      </c>
      <c r="Q314" s="3">
        <v>1</v>
      </c>
      <c r="R314" s="3" t="s">
        <v>875</v>
      </c>
      <c r="S314" s="2" t="s">
        <v>876</v>
      </c>
    </row>
    <row r="315" spans="1:19" ht="15.4" customHeight="1" x14ac:dyDescent="0.45">
      <c r="A315" s="2" t="s">
        <v>1196</v>
      </c>
      <c r="B315" s="2" t="s">
        <v>1514</v>
      </c>
      <c r="C315" s="10"/>
      <c r="E315" s="15">
        <v>23</v>
      </c>
      <c r="F315" s="2" t="s">
        <v>1562</v>
      </c>
      <c r="G315" s="5" t="s">
        <v>1515</v>
      </c>
      <c r="H315" s="2" t="s">
        <v>779</v>
      </c>
      <c r="I315" s="2" t="s">
        <v>781</v>
      </c>
      <c r="J315" s="2" t="s">
        <v>764</v>
      </c>
      <c r="K315" s="2" t="s">
        <v>9</v>
      </c>
      <c r="L315" s="2" t="s">
        <v>815</v>
      </c>
      <c r="M315" s="2" t="s">
        <v>11</v>
      </c>
      <c r="N315" s="2" t="s">
        <v>1488</v>
      </c>
      <c r="O315" s="2" t="s">
        <v>1204</v>
      </c>
      <c r="P315" s="2">
        <v>40</v>
      </c>
      <c r="Q315" s="3">
        <v>1</v>
      </c>
      <c r="R315" s="3" t="s">
        <v>875</v>
      </c>
      <c r="S315" s="2" t="s">
        <v>876</v>
      </c>
    </row>
    <row r="316" spans="1:19" ht="15.4" customHeight="1" x14ac:dyDescent="0.45">
      <c r="A316" s="2" t="s">
        <v>1197</v>
      </c>
      <c r="B316" s="2" t="s">
        <v>1514</v>
      </c>
      <c r="C316" s="10"/>
      <c r="E316" s="15">
        <v>24</v>
      </c>
      <c r="F316" s="2" t="s">
        <v>1562</v>
      </c>
      <c r="G316" s="5" t="s">
        <v>1515</v>
      </c>
      <c r="H316" s="2" t="s">
        <v>779</v>
      </c>
      <c r="I316" s="2" t="s">
        <v>765</v>
      </c>
      <c r="J316" s="2" t="s">
        <v>782</v>
      </c>
      <c r="K316" s="2" t="s">
        <v>9</v>
      </c>
      <c r="L316" s="2" t="s">
        <v>816</v>
      </c>
      <c r="M316" s="2" t="s">
        <v>11</v>
      </c>
      <c r="N316" s="2" t="s">
        <v>1489</v>
      </c>
      <c r="O316" s="2" t="s">
        <v>1204</v>
      </c>
      <c r="P316" s="2">
        <v>40</v>
      </c>
      <c r="Q316" s="3">
        <v>1</v>
      </c>
      <c r="R316" s="3" t="s">
        <v>875</v>
      </c>
      <c r="S316" s="2" t="s">
        <v>876</v>
      </c>
    </row>
    <row r="317" spans="1:19" ht="15.4" customHeight="1" x14ac:dyDescent="0.45">
      <c r="A317" s="2" t="s">
        <v>1198</v>
      </c>
      <c r="B317" s="2" t="s">
        <v>1514</v>
      </c>
      <c r="C317" s="10"/>
      <c r="E317" s="15">
        <v>25</v>
      </c>
      <c r="F317" s="2" t="s">
        <v>1562</v>
      </c>
      <c r="G317" s="5" t="s">
        <v>1515</v>
      </c>
      <c r="H317" s="2" t="s">
        <v>779</v>
      </c>
      <c r="I317" s="2" t="s">
        <v>770</v>
      </c>
      <c r="J317" s="2" t="s">
        <v>771</v>
      </c>
      <c r="K317" s="2" t="s">
        <v>9</v>
      </c>
      <c r="L317" s="2" t="s">
        <v>817</v>
      </c>
      <c r="M317" s="2" t="s">
        <v>11</v>
      </c>
      <c r="N317" s="2" t="s">
        <v>1490</v>
      </c>
      <c r="O317" s="2" t="s">
        <v>1204</v>
      </c>
      <c r="P317" s="2">
        <v>40</v>
      </c>
      <c r="Q317" s="3">
        <v>1</v>
      </c>
      <c r="R317" s="3" t="s">
        <v>875</v>
      </c>
      <c r="S317" s="2" t="s">
        <v>876</v>
      </c>
    </row>
    <row r="318" spans="1:19" ht="15.4" customHeight="1" x14ac:dyDescent="0.45">
      <c r="A318" s="2" t="s">
        <v>1199</v>
      </c>
      <c r="B318" s="2" t="s">
        <v>1514</v>
      </c>
      <c r="C318" s="10"/>
      <c r="E318" s="15">
        <v>26</v>
      </c>
      <c r="F318" s="2" t="s">
        <v>1562</v>
      </c>
      <c r="G318" s="5" t="s">
        <v>1515</v>
      </c>
      <c r="H318" s="2" t="s">
        <v>779</v>
      </c>
      <c r="I318" s="2" t="s">
        <v>775</v>
      </c>
      <c r="J318" s="2" t="s">
        <v>783</v>
      </c>
      <c r="K318" s="2" t="s">
        <v>9</v>
      </c>
      <c r="L318" s="2" t="s">
        <v>818</v>
      </c>
      <c r="M318" s="2" t="s">
        <v>11</v>
      </c>
      <c r="N318" s="2" t="s">
        <v>1491</v>
      </c>
      <c r="O318" s="2" t="s">
        <v>1204</v>
      </c>
      <c r="P318" s="2" t="s">
        <v>827</v>
      </c>
      <c r="S318" s="2" t="s">
        <v>876</v>
      </c>
    </row>
    <row r="319" spans="1:19" ht="15.4" customHeight="1" x14ac:dyDescent="0.45">
      <c r="A319" s="2" t="s">
        <v>1200</v>
      </c>
      <c r="B319" s="2" t="s">
        <v>1514</v>
      </c>
      <c r="C319" s="10"/>
      <c r="E319" s="15">
        <v>27</v>
      </c>
      <c r="F319" s="2" t="s">
        <v>1562</v>
      </c>
      <c r="G319" s="5" t="s">
        <v>1515</v>
      </c>
      <c r="H319" s="2" t="s">
        <v>779</v>
      </c>
      <c r="I319" s="2" t="s">
        <v>784</v>
      </c>
      <c r="J319" s="2" t="s">
        <v>785</v>
      </c>
      <c r="K319" s="2" t="s">
        <v>9</v>
      </c>
      <c r="L319" s="2" t="s">
        <v>786</v>
      </c>
      <c r="M319" s="2" t="s">
        <v>11</v>
      </c>
      <c r="N319" s="2" t="s">
        <v>1492</v>
      </c>
      <c r="O319" s="2" t="s">
        <v>1204</v>
      </c>
      <c r="P319" s="2">
        <v>40</v>
      </c>
      <c r="Q319" s="3">
        <v>1</v>
      </c>
      <c r="R319" s="3" t="s">
        <v>875</v>
      </c>
      <c r="S319" s="2" t="s">
        <v>876</v>
      </c>
    </row>
    <row r="320" spans="1:19" ht="15.4" customHeight="1" x14ac:dyDescent="0.45">
      <c r="A320" s="2" t="s">
        <v>1642</v>
      </c>
      <c r="B320" s="2" t="s">
        <v>1514</v>
      </c>
      <c r="C320" s="10"/>
      <c r="E320" s="15">
        <v>1</v>
      </c>
      <c r="F320" s="2" t="s">
        <v>1563</v>
      </c>
      <c r="G320" s="5" t="s">
        <v>1516</v>
      </c>
      <c r="H320" s="2" t="s">
        <v>742</v>
      </c>
      <c r="I320" s="2" t="s">
        <v>742</v>
      </c>
      <c r="J320" s="2" t="s">
        <v>743</v>
      </c>
      <c r="K320" s="2" t="s">
        <v>9</v>
      </c>
      <c r="L320" s="2" t="s">
        <v>800</v>
      </c>
      <c r="M320" s="2" t="s">
        <v>11</v>
      </c>
      <c r="N320" s="2" t="s">
        <v>1493</v>
      </c>
      <c r="O320" s="2" t="s">
        <v>1204</v>
      </c>
      <c r="P320" s="2">
        <v>40</v>
      </c>
      <c r="Q320" s="3">
        <v>1</v>
      </c>
      <c r="R320" s="3" t="s">
        <v>875</v>
      </c>
      <c r="S320" s="2" t="s">
        <v>876</v>
      </c>
    </row>
    <row r="321" spans="1:19" ht="15.4" customHeight="1" x14ac:dyDescent="0.45">
      <c r="A321" s="2" t="s">
        <v>1643</v>
      </c>
      <c r="B321" s="2" t="s">
        <v>1514</v>
      </c>
      <c r="C321" s="10"/>
      <c r="E321" s="15">
        <v>2</v>
      </c>
      <c r="F321" s="2" t="s">
        <v>1563</v>
      </c>
      <c r="G321" s="5" t="s">
        <v>1516</v>
      </c>
      <c r="H321" s="2" t="s">
        <v>746</v>
      </c>
      <c r="I321" s="2" t="s">
        <v>747</v>
      </c>
      <c r="J321" s="2" t="s">
        <v>748</v>
      </c>
      <c r="K321" s="2" t="s">
        <v>9</v>
      </c>
      <c r="L321" s="2" t="s">
        <v>802</v>
      </c>
      <c r="M321" s="2" t="s">
        <v>11</v>
      </c>
      <c r="N321" s="2" t="s">
        <v>1494</v>
      </c>
      <c r="O321" s="2" t="s">
        <v>1204</v>
      </c>
      <c r="P321" s="2">
        <v>40</v>
      </c>
      <c r="Q321" s="3">
        <v>1</v>
      </c>
      <c r="R321" s="3" t="s">
        <v>875</v>
      </c>
      <c r="S321" s="2" t="s">
        <v>876</v>
      </c>
    </row>
    <row r="322" spans="1:19" ht="15.4" customHeight="1" x14ac:dyDescent="0.45">
      <c r="A322" s="2" t="s">
        <v>1644</v>
      </c>
      <c r="B322" s="2" t="s">
        <v>1514</v>
      </c>
      <c r="C322" s="10"/>
      <c r="E322" s="15">
        <v>3</v>
      </c>
      <c r="F322" s="2" t="s">
        <v>1563</v>
      </c>
      <c r="G322" s="5" t="s">
        <v>1516</v>
      </c>
      <c r="H322" s="2" t="s">
        <v>749</v>
      </c>
      <c r="I322" s="2" t="s">
        <v>750</v>
      </c>
      <c r="J322" s="2" t="s">
        <v>787</v>
      </c>
      <c r="K322" s="2" t="s">
        <v>9</v>
      </c>
      <c r="L322" s="2" t="s">
        <v>819</v>
      </c>
      <c r="M322" s="2" t="s">
        <v>11</v>
      </c>
      <c r="N322" s="2" t="s">
        <v>1495</v>
      </c>
      <c r="O322" s="2" t="s">
        <v>1204</v>
      </c>
      <c r="P322" s="2">
        <v>40</v>
      </c>
      <c r="Q322" s="3">
        <v>1</v>
      </c>
      <c r="R322" s="3" t="s">
        <v>875</v>
      </c>
      <c r="S322" s="2" t="s">
        <v>876</v>
      </c>
    </row>
    <row r="323" spans="1:19" ht="15.4" customHeight="1" x14ac:dyDescent="0.45">
      <c r="A323" s="2" t="s">
        <v>1645</v>
      </c>
      <c r="B323" s="2" t="s">
        <v>1514</v>
      </c>
      <c r="C323" s="10"/>
      <c r="E323" s="15">
        <v>4</v>
      </c>
      <c r="F323" s="2" t="s">
        <v>1563</v>
      </c>
      <c r="G323" s="5" t="s">
        <v>1516</v>
      </c>
      <c r="H323" s="2" t="s">
        <v>749</v>
      </c>
      <c r="I323" s="2" t="s">
        <v>752</v>
      </c>
      <c r="J323" s="2" t="s">
        <v>788</v>
      </c>
      <c r="K323" s="2" t="s">
        <v>9</v>
      </c>
      <c r="L323" s="2" t="s">
        <v>820</v>
      </c>
      <c r="M323" s="2" t="s">
        <v>11</v>
      </c>
      <c r="N323" s="2" t="s">
        <v>1496</v>
      </c>
      <c r="O323" s="2" t="s">
        <v>1204</v>
      </c>
      <c r="P323" s="2">
        <v>40</v>
      </c>
      <c r="Q323" s="3">
        <v>1</v>
      </c>
      <c r="R323" s="3" t="s">
        <v>875</v>
      </c>
      <c r="S323" s="2" t="s">
        <v>876</v>
      </c>
    </row>
    <row r="324" spans="1:19" ht="15.4" customHeight="1" x14ac:dyDescent="0.45">
      <c r="A324" s="2" t="s">
        <v>1646</v>
      </c>
      <c r="B324" s="2" t="s">
        <v>1514</v>
      </c>
      <c r="C324" s="10"/>
      <c r="E324" s="15">
        <v>5</v>
      </c>
      <c r="F324" s="2" t="s">
        <v>1563</v>
      </c>
      <c r="G324" s="5" t="s">
        <v>1516</v>
      </c>
      <c r="H324" s="2" t="s">
        <v>789</v>
      </c>
      <c r="I324" s="2" t="s">
        <v>527</v>
      </c>
      <c r="J324" s="2" t="s">
        <v>790</v>
      </c>
      <c r="K324" s="2" t="s">
        <v>9</v>
      </c>
      <c r="L324" s="2" t="s">
        <v>821</v>
      </c>
      <c r="M324" s="2" t="s">
        <v>11</v>
      </c>
      <c r="N324" s="2" t="s">
        <v>1497</v>
      </c>
      <c r="O324" s="2" t="s">
        <v>1204</v>
      </c>
      <c r="P324" s="2">
        <v>40</v>
      </c>
      <c r="Q324" s="3">
        <v>1</v>
      </c>
      <c r="R324" s="3" t="s">
        <v>875</v>
      </c>
      <c r="S324" s="2" t="s">
        <v>876</v>
      </c>
    </row>
    <row r="325" spans="1:19" ht="15.4" customHeight="1" x14ac:dyDescent="0.45">
      <c r="A325" s="2" t="s">
        <v>1647</v>
      </c>
      <c r="B325" s="2" t="s">
        <v>1514</v>
      </c>
      <c r="C325" s="10"/>
      <c r="E325" s="15">
        <v>6</v>
      </c>
      <c r="F325" s="2" t="s">
        <v>1563</v>
      </c>
      <c r="G325" s="5" t="s">
        <v>1516</v>
      </c>
      <c r="H325" s="2" t="s">
        <v>789</v>
      </c>
      <c r="I325" s="2" t="s">
        <v>756</v>
      </c>
      <c r="J325" s="2" t="s">
        <v>757</v>
      </c>
      <c r="K325" s="2" t="s">
        <v>9</v>
      </c>
      <c r="L325" s="2" t="s">
        <v>822</v>
      </c>
      <c r="M325" s="2" t="s">
        <v>11</v>
      </c>
      <c r="N325" s="2" t="s">
        <v>1498</v>
      </c>
      <c r="O325" s="2" t="s">
        <v>1204</v>
      </c>
      <c r="P325" s="2">
        <v>40</v>
      </c>
      <c r="Q325" s="3">
        <v>1</v>
      </c>
      <c r="R325" s="3" t="s">
        <v>875</v>
      </c>
      <c r="S325" s="2" t="s">
        <v>876</v>
      </c>
    </row>
    <row r="326" spans="1:19" ht="15.4" customHeight="1" x14ac:dyDescent="0.45">
      <c r="A326" s="2" t="s">
        <v>1648</v>
      </c>
      <c r="B326" s="2" t="s">
        <v>1514</v>
      </c>
      <c r="C326" s="10"/>
      <c r="E326" s="15">
        <v>7</v>
      </c>
      <c r="F326" s="2" t="s">
        <v>1563</v>
      </c>
      <c r="G326" s="5" t="s">
        <v>1516</v>
      </c>
      <c r="H326" s="2" t="s">
        <v>789</v>
      </c>
      <c r="I326" s="2" t="s">
        <v>758</v>
      </c>
      <c r="J326" s="2" t="s">
        <v>791</v>
      </c>
      <c r="K326" s="2" t="s">
        <v>9</v>
      </c>
      <c r="L326" s="2" t="s">
        <v>792</v>
      </c>
      <c r="M326" s="2" t="s">
        <v>11</v>
      </c>
      <c r="N326" s="2" t="s">
        <v>1499</v>
      </c>
      <c r="O326" s="2" t="s">
        <v>1204</v>
      </c>
      <c r="P326" s="2">
        <v>40</v>
      </c>
      <c r="Q326" s="3">
        <v>1</v>
      </c>
      <c r="R326" s="3" t="s">
        <v>875</v>
      </c>
      <c r="S326" s="2" t="s">
        <v>876</v>
      </c>
    </row>
    <row r="327" spans="1:19" ht="15.4" customHeight="1" x14ac:dyDescent="0.45">
      <c r="A327" s="2" t="s">
        <v>1649</v>
      </c>
      <c r="B327" s="2" t="s">
        <v>1514</v>
      </c>
      <c r="C327" s="10"/>
      <c r="E327" s="15">
        <v>8</v>
      </c>
      <c r="F327" s="2" t="s">
        <v>1563</v>
      </c>
      <c r="G327" s="5" t="s">
        <v>1516</v>
      </c>
      <c r="H327" s="2" t="s">
        <v>789</v>
      </c>
      <c r="I327" s="2" t="s">
        <v>761</v>
      </c>
      <c r="J327" s="2" t="s">
        <v>762</v>
      </c>
      <c r="K327" s="2" t="s">
        <v>9</v>
      </c>
      <c r="L327" s="2" t="s">
        <v>823</v>
      </c>
      <c r="M327" s="2" t="s">
        <v>11</v>
      </c>
      <c r="N327" s="2" t="s">
        <v>1500</v>
      </c>
      <c r="O327" s="2" t="s">
        <v>1204</v>
      </c>
      <c r="P327" s="2">
        <v>40</v>
      </c>
      <c r="Q327" s="3">
        <v>1</v>
      </c>
      <c r="R327" s="3" t="s">
        <v>875</v>
      </c>
      <c r="S327" s="2" t="s">
        <v>876</v>
      </c>
    </row>
    <row r="328" spans="1:19" ht="15.4" customHeight="1" x14ac:dyDescent="0.45">
      <c r="A328" s="2" t="s">
        <v>1650</v>
      </c>
      <c r="B328" s="2" t="s">
        <v>1514</v>
      </c>
      <c r="C328" s="10"/>
      <c r="E328" s="15">
        <v>9</v>
      </c>
      <c r="F328" s="2" t="s">
        <v>1563</v>
      </c>
      <c r="G328" s="5" t="s">
        <v>1516</v>
      </c>
      <c r="H328" s="2" t="s">
        <v>789</v>
      </c>
      <c r="I328" s="2" t="s">
        <v>781</v>
      </c>
      <c r="J328" s="2" t="s">
        <v>793</v>
      </c>
      <c r="K328" s="2" t="s">
        <v>9</v>
      </c>
      <c r="L328" s="2" t="s">
        <v>824</v>
      </c>
      <c r="M328" s="2" t="s">
        <v>11</v>
      </c>
      <c r="N328" s="2" t="s">
        <v>1501</v>
      </c>
      <c r="O328" s="2" t="s">
        <v>1204</v>
      </c>
      <c r="P328" s="2">
        <v>40</v>
      </c>
      <c r="Q328" s="3">
        <v>1</v>
      </c>
      <c r="R328" s="3" t="s">
        <v>875</v>
      </c>
      <c r="S328" s="2" t="s">
        <v>876</v>
      </c>
    </row>
    <row r="329" spans="1:19" ht="15.4" customHeight="1" x14ac:dyDescent="0.45">
      <c r="A329" s="2" t="s">
        <v>1651</v>
      </c>
      <c r="B329" s="2" t="s">
        <v>1514</v>
      </c>
      <c r="C329" s="10"/>
      <c r="E329" s="15">
        <v>10</v>
      </c>
      <c r="F329" s="2" t="s">
        <v>1563</v>
      </c>
      <c r="G329" s="5" t="s">
        <v>1516</v>
      </c>
      <c r="H329" s="2" t="s">
        <v>789</v>
      </c>
      <c r="I329" s="2" t="s">
        <v>765</v>
      </c>
      <c r="J329" s="2" t="s">
        <v>794</v>
      </c>
      <c r="K329" s="2" t="s">
        <v>9</v>
      </c>
      <c r="L329" s="2" t="s">
        <v>795</v>
      </c>
      <c r="M329" s="2" t="s">
        <v>11</v>
      </c>
      <c r="N329" s="2" t="s">
        <v>1502</v>
      </c>
      <c r="O329" s="2" t="s">
        <v>1204</v>
      </c>
      <c r="P329" s="2">
        <v>40</v>
      </c>
      <c r="Q329" s="3">
        <v>1</v>
      </c>
      <c r="R329" s="3" t="s">
        <v>875</v>
      </c>
      <c r="S329" s="2" t="s">
        <v>876</v>
      </c>
    </row>
    <row r="330" spans="1:19" ht="15.4" customHeight="1" x14ac:dyDescent="0.45">
      <c r="A330" s="2" t="s">
        <v>1652</v>
      </c>
      <c r="B330" s="2" t="s">
        <v>1514</v>
      </c>
      <c r="C330" s="10"/>
      <c r="E330" s="15">
        <v>11</v>
      </c>
      <c r="F330" s="2" t="s">
        <v>1563</v>
      </c>
      <c r="G330" s="5" t="s">
        <v>1516</v>
      </c>
      <c r="H330" s="2" t="s">
        <v>789</v>
      </c>
      <c r="I330" s="2" t="s">
        <v>767</v>
      </c>
      <c r="J330" s="2" t="s">
        <v>796</v>
      </c>
      <c r="K330" s="2" t="s">
        <v>9</v>
      </c>
      <c r="L330" s="2" t="s">
        <v>797</v>
      </c>
      <c r="M330" s="2" t="s">
        <v>11</v>
      </c>
      <c r="N330" s="2" t="s">
        <v>1503</v>
      </c>
      <c r="O330" s="2" t="s">
        <v>1204</v>
      </c>
      <c r="P330" s="2">
        <v>40</v>
      </c>
      <c r="Q330" s="3">
        <v>1</v>
      </c>
      <c r="R330" s="3" t="s">
        <v>875</v>
      </c>
      <c r="S330" s="2" t="s">
        <v>876</v>
      </c>
    </row>
    <row r="331" spans="1:19" ht="15.4" customHeight="1" x14ac:dyDescent="0.45">
      <c r="A331" s="2" t="s">
        <v>1653</v>
      </c>
      <c r="B331" s="2" t="s">
        <v>1514</v>
      </c>
      <c r="C331" s="10"/>
      <c r="E331" s="15">
        <v>12</v>
      </c>
      <c r="F331" s="2" t="s">
        <v>1563</v>
      </c>
      <c r="G331" s="5" t="s">
        <v>1516</v>
      </c>
      <c r="H331" s="2" t="s">
        <v>789</v>
      </c>
      <c r="I331" s="2" t="s">
        <v>770</v>
      </c>
      <c r="J331" s="2" t="s">
        <v>798</v>
      </c>
      <c r="K331" s="2" t="s">
        <v>9</v>
      </c>
      <c r="L331" s="2" t="s">
        <v>799</v>
      </c>
      <c r="M331" s="2" t="s">
        <v>11</v>
      </c>
      <c r="N331" s="2" t="s">
        <v>1504</v>
      </c>
      <c r="O331" s="2" t="s">
        <v>1204</v>
      </c>
      <c r="P331" s="2">
        <v>40</v>
      </c>
      <c r="Q331" s="3">
        <v>1</v>
      </c>
      <c r="R331" s="3" t="s">
        <v>875</v>
      </c>
      <c r="S331" s="2" t="s">
        <v>876</v>
      </c>
    </row>
    <row r="332" spans="1:19" ht="15.4" customHeight="1" x14ac:dyDescent="0.45">
      <c r="A332" s="2" t="s">
        <v>1654</v>
      </c>
      <c r="B332" s="2" t="s">
        <v>1514</v>
      </c>
      <c r="C332" s="10"/>
      <c r="E332" s="15">
        <v>13</v>
      </c>
      <c r="F332" s="2" t="s">
        <v>1563</v>
      </c>
      <c r="G332" s="5" t="s">
        <v>1516</v>
      </c>
      <c r="H332" s="2" t="s">
        <v>789</v>
      </c>
      <c r="I332" s="2" t="s">
        <v>777</v>
      </c>
      <c r="J332" s="2" t="s">
        <v>778</v>
      </c>
      <c r="K332" s="2" t="s">
        <v>9</v>
      </c>
      <c r="L332" s="2" t="s">
        <v>812</v>
      </c>
      <c r="M332" s="2" t="s">
        <v>11</v>
      </c>
      <c r="N332" s="2" t="s">
        <v>1505</v>
      </c>
      <c r="O332" s="2" t="s">
        <v>1204</v>
      </c>
      <c r="P332" s="2">
        <v>40</v>
      </c>
      <c r="Q332" s="3">
        <v>1</v>
      </c>
      <c r="R332" s="3" t="s">
        <v>875</v>
      </c>
      <c r="S332" s="2" t="s">
        <v>876</v>
      </c>
    </row>
    <row r="333" spans="1:19" ht="15.4" customHeight="1" x14ac:dyDescent="0.45">
      <c r="A333" s="2" t="s">
        <v>1201</v>
      </c>
      <c r="B333" s="2" t="s">
        <v>1514</v>
      </c>
      <c r="C333" s="10"/>
      <c r="E333" s="15">
        <v>1</v>
      </c>
      <c r="F333" s="2" t="s">
        <v>1564</v>
      </c>
      <c r="G333" s="5" t="s">
        <v>1517</v>
      </c>
      <c r="H333" s="2" t="s">
        <v>739</v>
      </c>
      <c r="I333" s="2" t="s">
        <v>944</v>
      </c>
      <c r="J333" s="2" t="s">
        <v>941</v>
      </c>
      <c r="K333" s="3" t="s">
        <v>9</v>
      </c>
      <c r="L333" s="2" t="s">
        <v>942</v>
      </c>
      <c r="M333" s="2" t="s">
        <v>11</v>
      </c>
      <c r="N333" s="2" t="s">
        <v>1506</v>
      </c>
      <c r="O333" s="2" t="s">
        <v>1204</v>
      </c>
      <c r="P333" s="2">
        <v>40</v>
      </c>
      <c r="Q333" s="3">
        <v>1</v>
      </c>
      <c r="R333" s="3" t="s">
        <v>947</v>
      </c>
      <c r="S333" s="2" t="s">
        <v>876</v>
      </c>
    </row>
    <row r="334" spans="1:19" ht="15.4" customHeight="1" x14ac:dyDescent="0.45">
      <c r="A334" s="2" t="s">
        <v>1202</v>
      </c>
      <c r="B334" s="2" t="s">
        <v>1514</v>
      </c>
      <c r="C334" s="10"/>
      <c r="E334" s="15">
        <v>2</v>
      </c>
      <c r="F334" s="2" t="s">
        <v>1564</v>
      </c>
      <c r="G334" s="5" t="s">
        <v>1517</v>
      </c>
      <c r="H334" s="2" t="s">
        <v>739</v>
      </c>
      <c r="I334" s="2" t="s">
        <v>391</v>
      </c>
      <c r="J334" s="2" t="s">
        <v>943</v>
      </c>
      <c r="K334" s="3" t="s">
        <v>9</v>
      </c>
      <c r="L334" s="2" t="s">
        <v>945</v>
      </c>
      <c r="M334" s="2" t="s">
        <v>11</v>
      </c>
      <c r="N334" s="2" t="s">
        <v>1507</v>
      </c>
      <c r="O334" s="2" t="s">
        <v>1204</v>
      </c>
      <c r="P334" s="2">
        <v>40</v>
      </c>
      <c r="Q334" s="3">
        <v>1</v>
      </c>
      <c r="R334" s="3" t="s">
        <v>948</v>
      </c>
      <c r="S334" s="2" t="s">
        <v>876</v>
      </c>
    </row>
    <row r="335" spans="1:19" ht="15.4" customHeight="1" x14ac:dyDescent="0.45">
      <c r="A335" s="2" t="s">
        <v>1203</v>
      </c>
      <c r="B335" s="2" t="s">
        <v>1514</v>
      </c>
      <c r="C335" s="10"/>
      <c r="E335" s="15">
        <v>3</v>
      </c>
      <c r="F335" s="2" t="s">
        <v>1564</v>
      </c>
      <c r="G335" s="5" t="s">
        <v>1517</v>
      </c>
      <c r="H335" s="2" t="s">
        <v>739</v>
      </c>
      <c r="I335" s="2" t="s">
        <v>397</v>
      </c>
      <c r="J335" s="2" t="s">
        <v>943</v>
      </c>
      <c r="K335" s="3" t="s">
        <v>9</v>
      </c>
      <c r="L335" s="2" t="s">
        <v>946</v>
      </c>
      <c r="M335" s="2" t="s">
        <v>11</v>
      </c>
      <c r="N335" s="2" t="s">
        <v>1508</v>
      </c>
      <c r="O335" s="2" t="s">
        <v>1204</v>
      </c>
      <c r="P335" s="2">
        <v>40</v>
      </c>
      <c r="Q335" s="3">
        <v>1</v>
      </c>
      <c r="R335" s="3" t="s">
        <v>949</v>
      </c>
      <c r="S335" s="2" t="s">
        <v>876</v>
      </c>
    </row>
    <row r="336" spans="1:19" ht="15.4" customHeight="1" x14ac:dyDescent="0.45">
      <c r="C336" s="10"/>
      <c r="E336" s="15"/>
      <c r="J336" s="3"/>
      <c r="K336" s="3"/>
      <c r="O336" s="2"/>
    </row>
    <row r="337" spans="2:15" ht="15.4" customHeight="1" x14ac:dyDescent="0.45">
      <c r="C337" s="10"/>
      <c r="E337" s="15"/>
      <c r="J337" s="3"/>
      <c r="K337" s="3"/>
      <c r="O337" s="2"/>
    </row>
    <row r="338" spans="2:15" ht="15.4" customHeight="1" x14ac:dyDescent="0.45">
      <c r="C338" s="10"/>
      <c r="E338" s="15"/>
      <c r="J338" s="3"/>
      <c r="K338" s="3"/>
      <c r="O338" s="2"/>
    </row>
    <row r="339" spans="2:15" ht="15.4" customHeight="1" x14ac:dyDescent="0.45">
      <c r="C339" s="10"/>
      <c r="E339" s="15"/>
      <c r="J339" s="3"/>
      <c r="K339" s="3"/>
      <c r="O339" s="2"/>
    </row>
    <row r="340" spans="2:15" ht="15.4" customHeight="1" x14ac:dyDescent="0.45">
      <c r="C340" s="10"/>
      <c r="E340" s="15"/>
      <c r="J340" s="3"/>
      <c r="K340" s="3"/>
      <c r="O340" s="2"/>
    </row>
    <row r="341" spans="2:15" ht="15.4" customHeight="1" x14ac:dyDescent="0.45">
      <c r="B341"/>
      <c r="C341" s="10"/>
      <c r="E341" s="15"/>
      <c r="J341" s="3"/>
      <c r="K341" s="3"/>
      <c r="O341" s="2"/>
    </row>
    <row r="342" spans="2:15" ht="15.4" customHeight="1" x14ac:dyDescent="0.45">
      <c r="B342"/>
      <c r="C342" s="10"/>
      <c r="E342" s="15"/>
      <c r="J342" s="3"/>
      <c r="K342" s="3"/>
      <c r="O342" s="2"/>
    </row>
    <row r="343" spans="2:15" ht="15.4" customHeight="1" x14ac:dyDescent="0.45">
      <c r="C343" s="10"/>
      <c r="E343" s="15"/>
      <c r="O343" s="2"/>
    </row>
    <row r="344" spans="2:15" ht="15.4" customHeight="1" x14ac:dyDescent="0.45">
      <c r="C344" s="10"/>
      <c r="E344" s="15"/>
      <c r="O344" s="2"/>
    </row>
    <row r="345" spans="2:15" ht="15.4" customHeight="1" x14ac:dyDescent="0.45">
      <c r="C345" s="10"/>
      <c r="E345" s="15"/>
      <c r="O345" s="2"/>
    </row>
    <row r="346" spans="2:15" ht="15.4" customHeight="1" x14ac:dyDescent="0.45">
      <c r="C346" s="10"/>
      <c r="E346" s="15"/>
      <c r="O346" s="2"/>
    </row>
    <row r="347" spans="2:15" ht="15.4" customHeight="1" x14ac:dyDescent="0.45">
      <c r="C347" s="10"/>
      <c r="E347" s="15"/>
      <c r="O347" s="2"/>
    </row>
    <row r="348" spans="2:15" ht="15.4" customHeight="1" x14ac:dyDescent="0.45">
      <c r="C348" s="10"/>
      <c r="E348" s="15"/>
      <c r="O348" s="2"/>
    </row>
    <row r="349" spans="2:15" ht="15.4" customHeight="1" x14ac:dyDescent="0.45">
      <c r="C349" s="10"/>
      <c r="E349" s="15"/>
      <c r="O349" s="2"/>
    </row>
    <row r="350" spans="2:15" ht="15.4" customHeight="1" x14ac:dyDescent="0.45">
      <c r="C350" s="10"/>
      <c r="E350" s="15"/>
      <c r="O350" s="2"/>
    </row>
    <row r="351" spans="2:15" ht="15.4" customHeight="1" x14ac:dyDescent="0.45">
      <c r="C351" s="10"/>
      <c r="E351" s="15"/>
      <c r="O351" s="2"/>
    </row>
    <row r="352" spans="2:15" ht="15.4" customHeight="1" x14ac:dyDescent="0.45">
      <c r="C352" s="10"/>
      <c r="E352" s="15"/>
      <c r="O352" s="2"/>
    </row>
    <row r="353" spans="3:15" ht="15.4" customHeight="1" x14ac:dyDescent="0.45">
      <c r="C353" s="10"/>
      <c r="E353" s="15"/>
      <c r="O353" s="2"/>
    </row>
    <row r="354" spans="3:15" ht="15.4" customHeight="1" x14ac:dyDescent="0.45">
      <c r="C354" s="10"/>
      <c r="E354" s="15"/>
      <c r="O354" s="2"/>
    </row>
    <row r="355" spans="3:15" ht="15.4" customHeight="1" x14ac:dyDescent="0.45">
      <c r="C355" s="10"/>
      <c r="E355" s="15"/>
      <c r="O355" s="2"/>
    </row>
    <row r="356" spans="3:15" ht="15.4" customHeight="1" x14ac:dyDescent="0.45">
      <c r="C356" s="10"/>
      <c r="E356" s="15"/>
      <c r="O356" s="2"/>
    </row>
    <row r="357" spans="3:15" ht="15.4" customHeight="1" x14ac:dyDescent="0.45">
      <c r="C357" s="10"/>
      <c r="E357" s="15"/>
      <c r="O357" s="2"/>
    </row>
    <row r="358" spans="3:15" ht="15.4" customHeight="1" x14ac:dyDescent="0.45">
      <c r="C358" s="10"/>
      <c r="E358" s="15"/>
      <c r="O358" s="2"/>
    </row>
    <row r="359" spans="3:15" ht="15.4" customHeight="1" x14ac:dyDescent="0.45">
      <c r="C359" s="10"/>
      <c r="E359" s="15"/>
      <c r="O359" s="2"/>
    </row>
    <row r="360" spans="3:15" ht="15.4" customHeight="1" x14ac:dyDescent="0.45">
      <c r="C360" s="10"/>
      <c r="E360" s="15"/>
      <c r="O360" s="2"/>
    </row>
  </sheetData>
  <phoneticPr fontId="2" type="noConversion"/>
  <conditionalFormatting sqref="F2:F360">
    <cfRule type="expression" dxfId="0" priority="1">
      <formula>AND(C2&lt;&gt;"",F2&lt;&gt;"")</formula>
    </cfRule>
  </conditionalFormatting>
  <dataValidations xWindow="1204" yWindow="1049" count="1">
    <dataValidation type="list" allowBlank="1" showInputMessage="1" showErrorMessage="1" errorTitle="ERROR: Criteria List" error="You can only select from the dropdown list!!!" promptTitle="Criteria List" prompt="Select from dropdown list." sqref="C2:C360" xr:uid="{A0642334-A242-4B02-AABA-B81573A35164}">
      <formula1>List_Criteria</formula1>
    </dataValidation>
  </dataValidation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21FFF-11E7-4D33-AC57-623DCC09F6D4}">
  <dimension ref="A1:I8"/>
  <sheetViews>
    <sheetView workbookViewId="0">
      <selection activeCell="E12" sqref="E12"/>
    </sheetView>
  </sheetViews>
  <sheetFormatPr defaultRowHeight="14.25" x14ac:dyDescent="0.45"/>
  <cols>
    <col min="1" max="1" width="10.53125" bestFit="1" customWidth="1"/>
    <col min="2" max="2" width="17.9296875" bestFit="1" customWidth="1"/>
    <col min="3" max="3" width="13.06640625" bestFit="1" customWidth="1"/>
    <col min="4" max="4" width="15.265625" bestFit="1" customWidth="1"/>
    <col min="5" max="5" width="12.86328125" bestFit="1" customWidth="1"/>
    <col min="6" max="6" width="14.73046875" bestFit="1" customWidth="1"/>
    <col min="7" max="7" width="16.19921875" bestFit="1" customWidth="1"/>
    <col min="8" max="8" width="27.265625" bestFit="1" customWidth="1"/>
    <col min="9" max="9" width="26.265625" bestFit="1" customWidth="1"/>
  </cols>
  <sheetData>
    <row r="1" spans="1:9" s="13" customFormat="1" ht="15.4" customHeight="1" x14ac:dyDescent="0.45">
      <c r="A1" s="13" t="s">
        <v>1587</v>
      </c>
      <c r="B1" s="20" t="s">
        <v>1655</v>
      </c>
      <c r="C1" s="21" t="s">
        <v>1656</v>
      </c>
      <c r="D1" s="21" t="s">
        <v>1657</v>
      </c>
      <c r="E1" s="22" t="s">
        <v>1658</v>
      </c>
      <c r="F1" s="21" t="s">
        <v>1659</v>
      </c>
      <c r="G1" s="21" t="s">
        <v>1660</v>
      </c>
      <c r="H1" s="21" t="s">
        <v>1661</v>
      </c>
      <c r="I1" s="23" t="s">
        <v>1662</v>
      </c>
    </row>
    <row r="2" spans="1:9" s="13" customFormat="1" x14ac:dyDescent="0.45">
      <c r="A2" t="s">
        <v>971</v>
      </c>
      <c r="B2" t="str">
        <f>IF(INDEX(Array_All_Data,MATCH(A2,List_Short_Codes,0),MATCH("Departments",List_H_Headings,0))="","",INDEX(Array_All_Data,MATCH(A2,List_Short_Codes,0),MATCH("Departments",List_H_Headings,0)))</f>
        <v>IPM Plan Management</v>
      </c>
      <c r="C2" s="18" t="str">
        <f>IF(INDEX(Array_All_Data,MATCH(A2,List_Short_Codes,0),MATCH("Criteria",List_H_Headings,0))="","",INDEX(Array_All_Data,MATCH(A2,List_Short_Codes,0),MATCH("Criteria",List_H_Headings,0)))</f>
        <v/>
      </c>
      <c r="D2" s="19" t="str">
        <f>IF(INDEX(Array_All_Data,MATCH(A2,List_Short_Codes,0),MATCH("Text_Icons",List_H_Headings,0))="","",INDEX(Array_All_Data,MATCH(A2,List_Short_Codes,0),MATCH("Text_Icons",List_H_Headings,0)))</f>
        <v/>
      </c>
      <c r="E2" s="19">
        <f>IF(INDEX(Array_All_Data,MATCH(A2,List_Short_Codes,0),MATCH("Ordinal",List_H_Headings,0))="","",INDEX(Array_All_Data,MATCH(A2,List_Short_Codes,0),MATCH("Ordinal",List_H_Headings,0)))</f>
        <v>27</v>
      </c>
      <c r="F2" t="str">
        <f>IF(INDEX(Array_All_Data,MATCH(A2,List_Short_Codes,0),MATCH("Block_Ref",List_H_Headings,0))="","",INDEX(Array_All_Data,MATCH(A2,List_Short_Codes,0),MATCH("Block_Ref",List_H_Headings,0)))</f>
        <v>BLOCK_DOC</v>
      </c>
      <c r="G2" t="str">
        <f>IF(INDEX(Array_All_Data,MATCH(A2,List_Short_Codes,0),MATCH("Title",List_H_Headings,0))="","",INDEX(Array_All_Data,MATCH(A2,List_Short_Codes,0),MATCH("Title",List_H_Headings,0)))</f>
        <v>IPM Documentation</v>
      </c>
      <c r="H2" t="str">
        <f>IF(INDEX(Array_All_Data,MATCH(A2,List_Short_Codes,0),MATCH("Heading",List_H_Headings,0))="","",INDEX(Array_All_Data,MATCH(A2,List_Short_Codes,0),MATCH("Heading",List_H_Headings,0)))</f>
        <v>Hardcopy Folder: Completed Logs</v>
      </c>
      <c r="I2" t="str">
        <f>IF(INDEX(Array_All_Data,MATCH(A2,List_Short_Codes,0),MATCH("Category",List_H_Headings,0))="","",INDEX(Array_All_Data,MATCH(A2,List_Short_Codes,0),MATCH("Category",List_H_Headings,0)))</f>
        <v>Advisories</v>
      </c>
    </row>
    <row r="3" spans="1:9" ht="15.4" customHeight="1" x14ac:dyDescent="0.45">
      <c r="A3" s="2" t="s">
        <v>955</v>
      </c>
      <c r="B3" t="str">
        <f>IF(INDEX(Array_All_Data,MATCH(A3,List_Short_Codes,0),MATCH("Departments",List_H_Headings,0))="","",INDEX(Array_All_Data,MATCH(A3,List_Short_Codes,0),MATCH("Departments",List_H_Headings,0)))</f>
        <v>IPM Plan Management</v>
      </c>
      <c r="C3" s="18" t="str">
        <f>IF(INDEX(Array_All_Data,MATCH(A3,List_Short_Codes,0),MATCH("Criteria",List_H_Headings,0))="","",INDEX(Array_All_Data,MATCH(A3,List_Short_Codes,0),MATCH("Criteria",List_H_Headings,0)))</f>
        <v/>
      </c>
      <c r="D3" s="19" t="str">
        <f>IF(INDEX(Array_All_Data,MATCH(A3,List_Short_Codes,0),MATCH("Text_Icons",List_H_Headings,0))="","",INDEX(Array_All_Data,MATCH(A3,List_Short_Codes,0),MATCH("Text_Icons",List_H_Headings,0)))</f>
        <v/>
      </c>
      <c r="E3" s="19">
        <f>IF(INDEX(Array_All_Data,MATCH(A3,List_Short_Codes,0),MATCH("Ordinal",List_H_Headings,0))="","",INDEX(Array_All_Data,MATCH(A3,List_Short_Codes,0),MATCH("Ordinal",List_H_Headings,0)))</f>
        <v>11</v>
      </c>
      <c r="F3" t="str">
        <f>IF(INDEX(Array_All_Data,MATCH(A3,List_Short_Codes,0),MATCH("Block_Ref",List_H_Headings,0))="","",INDEX(Array_All_Data,MATCH(A3,List_Short_Codes,0),MATCH("Block_Ref",List_H_Headings,0)))</f>
        <v>BLOCK_DOC</v>
      </c>
      <c r="G3" t="str">
        <f>IF(INDEX(Array_All_Data,MATCH(A3,List_Short_Codes,0),MATCH("Title",List_H_Headings,0))="","",INDEX(Array_All_Data,MATCH(A3,List_Short_Codes,0),MATCH("Title",List_H_Headings,0)))</f>
        <v>IPM Documentation</v>
      </c>
      <c r="H3" t="str">
        <f>IF(INDEX(Array_All_Data,MATCH(A3,List_Short_Codes,0),MATCH("Heading",List_H_Headings,0))="","",INDEX(Array_All_Data,MATCH(A3,List_Short_Codes,0),MATCH("Heading",List_H_Headings,0)))</f>
        <v>Hardcopy Folder: Completed Logs</v>
      </c>
      <c r="I3" t="str">
        <f>IF(INDEX(Array_All_Data,MATCH(A3,List_Short_Codes,0),MATCH("Category",List_H_Headings,0))="","",INDEX(Array_All_Data,MATCH(A3,List_Short_Codes,0),MATCH("Category",List_H_Headings,0)))</f>
        <v>IPM Departmental Responsibility</v>
      </c>
    </row>
    <row r="4" spans="1:9" x14ac:dyDescent="0.45">
      <c r="A4" s="2" t="s">
        <v>1546</v>
      </c>
      <c r="B4" t="str">
        <f>IF(INDEX(Array_All_Data,MATCH(A4,List_Short_Codes,0),MATCH("Departments",List_H_Headings,0))="","",INDEX(Array_All_Data,MATCH(A4,List_Short_Codes,0),MATCH("Departments",List_H_Headings,0)))</f>
        <v>General</v>
      </c>
      <c r="C4" s="18" t="str">
        <f>IF(INDEX(Array_All_Data,MATCH(A4,List_Short_Codes,0),MATCH("Criteria",List_H_Headings,0))="","",INDEX(Array_All_Data,MATCH(A4,List_Short_Codes,0),MATCH("Criteria",List_H_Headings,0)))</f>
        <v>Criteria</v>
      </c>
      <c r="D4" s="19" t="str">
        <f>IF(INDEX(Array_All_Data,MATCH(A4,List_Short_Codes,0),MATCH("Text_Icons",List_H_Headings,0))="","",INDEX(Array_All_Data,MATCH(A4,List_Short_Codes,0),MATCH("Text_Icons",List_H_Headings,0)))</f>
        <v/>
      </c>
      <c r="E4" s="19" t="str">
        <f>IF(INDEX(Array_All_Data,MATCH(A4,List_Short_Codes,0),MATCH("Ordinal",List_H_Headings,0))="","",INDEX(Array_All_Data,MATCH(A4,List_Short_Codes,0),MATCH("Ordinal",List_H_Headings,0)))</f>
        <v/>
      </c>
      <c r="F4" t="str">
        <f>IF(INDEX(Array_All_Data,MATCH(A4,List_Short_Codes,0),MATCH("Block_Ref",List_H_Headings,0))="","",INDEX(Array_All_Data,MATCH(A4,List_Short_Codes,0),MATCH("Block_Ref",List_H_Headings,0)))</f>
        <v/>
      </c>
      <c r="G4" t="str">
        <f>IF(INDEX(Array_All_Data,MATCH(A4,List_Short_Codes,0),MATCH("Title",List_H_Headings,0))="","",INDEX(Array_All_Data,MATCH(A4,List_Short_Codes,0),MATCH("Title",List_H_Headings,0)))</f>
        <v>Criteria:</v>
      </c>
      <c r="H4" t="str">
        <f>IF(INDEX(Array_All_Data,MATCH(A4,List_Short_Codes,0),MATCH("Heading",List_H_Headings,0))="","",INDEX(Array_All_Data,MATCH(A4,List_Short_Codes,0),MATCH("Heading",List_H_Headings,0)))</f>
        <v/>
      </c>
      <c r="I4" t="str">
        <f>IF(INDEX(Array_All_Data,MATCH(A4,List_Short_Codes,0),MATCH("Category",List_H_Headings,0))="","",INDEX(Array_All_Data,MATCH(A4,List_Short_Codes,0),MATCH("Category",List_H_Headings,0)))</f>
        <v/>
      </c>
    </row>
    <row r="5" spans="1:9" x14ac:dyDescent="0.45">
      <c r="A5" s="2" t="s">
        <v>1087</v>
      </c>
      <c r="B5" t="str">
        <f>IF(INDEX(Array_All_Data,MATCH(A5,List_Short_Codes,0),MATCH("Departments",List_H_Headings,0))="","",INDEX(Array_All_Data,MATCH(A5,List_Short_Codes,0),MATCH("Departments",List_H_Headings,0)))</f>
        <v>General</v>
      </c>
      <c r="C5" s="18" t="str">
        <f>IF(INDEX(Array_All_Data,MATCH(A5,List_Short_Codes,0),MATCH("Criteria",List_H_Headings,0))="","",INDEX(Array_All_Data,MATCH(A5,List_Short_Codes,0),MATCH("Criteria",List_H_Headings,0)))</f>
        <v/>
      </c>
      <c r="D5" s="19" t="str">
        <f>IF(INDEX(Array_All_Data,MATCH(A5,List_Short_Codes,0),MATCH("Text_Icons",List_H_Headings,0))="","",INDEX(Array_All_Data,MATCH(A5,List_Short_Codes,0),MATCH("Text_Icons",List_H_Headings,0)))</f>
        <v>CRT</v>
      </c>
      <c r="E5" s="19">
        <f>IF(INDEX(Array_All_Data,MATCH(A5,List_Short_Codes,0),MATCH("Ordinal",List_H_Headings,0))="","",INDEX(Array_All_Data,MATCH(A5,List_Short_Codes,0),MATCH("Ordinal",List_H_Headings,0)))</f>
        <v>1</v>
      </c>
      <c r="F5" t="str">
        <f>IF(INDEX(Array_All_Data,MATCH(A5,List_Short_Codes,0),MATCH("Block_Ref",List_H_Headings,0))="","",INDEX(Array_All_Data,MATCH(A5,List_Short_Codes,0),MATCH("Block_Ref",List_H_Headings,0)))</f>
        <v>BLOCK_CRT</v>
      </c>
      <c r="G5" t="str">
        <f>IF(INDEX(Array_All_Data,MATCH(A5,List_Short_Codes,0),MATCH("Title",List_H_Headings,0))="","",INDEX(Array_All_Data,MATCH(A5,List_Short_Codes,0),MATCH("Title",List_H_Headings,0)))</f>
        <v>Cockroach Traps</v>
      </c>
      <c r="H5" t="str">
        <f>IF(INDEX(Array_All_Data,MATCH(A5,List_Short_Codes,0),MATCH("Heading",List_H_Headings,0))="","",INDEX(Array_All_Data,MATCH(A5,List_Short_Codes,0),MATCH("Heading",List_H_Headings,0)))</f>
        <v>Inspections</v>
      </c>
      <c r="I5" t="str">
        <f>IF(INDEX(Array_All_Data,MATCH(A5,List_Short_Codes,0),MATCH("Category",List_H_Headings,0))="","",INDEX(Array_All_Data,MATCH(A5,List_Short_Codes,0),MATCH("Category",List_H_Headings,0)))</f>
        <v>Weekly</v>
      </c>
    </row>
    <row r="6" spans="1:9" x14ac:dyDescent="0.45">
      <c r="C6" s="19"/>
      <c r="D6" s="19"/>
      <c r="E6" s="19"/>
    </row>
    <row r="7" spans="1:9" x14ac:dyDescent="0.45">
      <c r="C7" s="19"/>
      <c r="D7" s="19"/>
      <c r="E7" s="19"/>
    </row>
    <row r="8" spans="1:9" x14ac:dyDescent="0.45">
      <c r="C8" s="19"/>
      <c r="D8" s="19"/>
      <c r="E8" s="1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c0ab83f-0c94-4c16-a535-57bfdd2cdfd0" xsi:nil="true"/>
    <lcf76f155ced4ddcb4097134ff3c332f xmlns="7351d190-83bf-42e5-89fa-edcdeb083a2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CCB9F1DDFF002469268AA7D05E5BDC6" ma:contentTypeVersion="11" ma:contentTypeDescription="Create a new document." ma:contentTypeScope="" ma:versionID="a7e342875921f9723bcbc042f1f69d71">
  <xsd:schema xmlns:xsd="http://www.w3.org/2001/XMLSchema" xmlns:xs="http://www.w3.org/2001/XMLSchema" xmlns:p="http://schemas.microsoft.com/office/2006/metadata/properties" xmlns:ns2="7351d190-83bf-42e5-89fa-edcdeb083a27" xmlns:ns3="ac0ab83f-0c94-4c16-a535-57bfdd2cdfd0" targetNamespace="http://schemas.microsoft.com/office/2006/metadata/properties" ma:root="true" ma:fieldsID="9bf33d9d1c3b682a0c8cb910c5fdb913" ns2:_="" ns3:_="">
    <xsd:import namespace="7351d190-83bf-42e5-89fa-edcdeb083a27"/>
    <xsd:import namespace="ac0ab83f-0c94-4c16-a535-57bfdd2cdf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51d190-83bf-42e5-89fa-edcdeb083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1e16240-ad02-4864-beac-baa6b442324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c0ab83f-0c94-4c16-a535-57bfdd2cdfd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e1da2e4-973b-4310-8b40-8802ae65b4ca}" ma:internalName="TaxCatchAll" ma:showField="CatchAllData" ma:web="ac0ab83f-0c94-4c16-a535-57bfdd2cdf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028373-77EA-48AB-A9C8-03751F7D75DC}">
  <ds:schemaRefs>
    <ds:schemaRef ds:uri="http://schemas.microsoft.com/sharepoint/v3/contenttype/forms"/>
  </ds:schemaRefs>
</ds:datastoreItem>
</file>

<file path=customXml/itemProps2.xml><?xml version="1.0" encoding="utf-8"?>
<ds:datastoreItem xmlns:ds="http://schemas.openxmlformats.org/officeDocument/2006/customXml" ds:itemID="{C5C5D13E-8AB1-4DE8-AFF8-B0B81037003F}">
  <ds:schemaRefs>
    <ds:schemaRef ds:uri="http://schemas.microsoft.com/office/2006/metadata/properties"/>
    <ds:schemaRef ds:uri="http://schemas.microsoft.com/office/infopath/2007/PartnerControls"/>
    <ds:schemaRef ds:uri="701add75-9931-4f2d-920f-5f719d8d14e6"/>
    <ds:schemaRef ds:uri="f0be5f0d-9109-444d-85e1-96c202e94a48"/>
    <ds:schemaRef ds:uri="ac0ab83f-0c94-4c16-a535-57bfdd2cdfd0"/>
    <ds:schemaRef ds:uri="7351d190-83bf-42e5-89fa-edcdeb083a27"/>
  </ds:schemaRefs>
</ds:datastoreItem>
</file>

<file path=customXml/itemProps3.xml><?xml version="1.0" encoding="utf-8"?>
<ds:datastoreItem xmlns:ds="http://schemas.openxmlformats.org/officeDocument/2006/customXml" ds:itemID="{E0D3EB7C-ADD9-499A-AC6D-D0766D671B4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51d190-83bf-42e5-89fa-edcdeb083a27"/>
    <ds:schemaRef ds:uri="ac0ab83f-0c94-4c16-a535-57bfdd2cdf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Config</vt:lpstr>
      <vt:lpstr>Data</vt:lpstr>
      <vt:lpstr>Report</vt:lpstr>
      <vt:lpstr>Array_All_Data</vt:lpstr>
      <vt:lpstr>List_Criteria</vt:lpstr>
      <vt:lpstr>List_H_Headings</vt:lpstr>
      <vt:lpstr>List_Short_Codes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Cresswell (IPM Consultant Supervisor and HR)</dc:creator>
  <cp:lastModifiedBy>Graham Hobson (Managing Director)</cp:lastModifiedBy>
  <cp:lastPrinted>2026-07-09T09:01:40Z</cp:lastPrinted>
  <dcterms:created xsi:type="dcterms:W3CDTF">2026-07-07T11:55:57Z</dcterms:created>
  <dcterms:modified xsi:type="dcterms:W3CDTF">2026-07-15T07:12:37Z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0x0101008CCB9F1DDFF002469268AA7D05E5BDC6</vt:lpwstr>
  </property>
</Properties>
</file>