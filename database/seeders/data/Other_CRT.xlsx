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hraf Nasib\Downloads\"/>
    </mc:Choice>
  </mc:AlternateContent>
  <xr:revisionPtr revIDLastSave="0" documentId="8_{E75C3726-99E5-4D64-90D8-35C6F0326084}" xr6:coauthVersionLast="47" xr6:coauthVersionMax="47" xr10:uidLastSave="{00000000-0000-0000-0000-000000000000}"/>
  <bookViews>
    <workbookView xWindow="-120" yWindow="-120" windowWidth="29040" windowHeight="17520" xr2:uid="{D5957576-98A5-4FD8-8AF0-43F9F4BCA51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3" i="1" l="1"/>
  <c r="A63" i="1"/>
  <c r="L62" i="1"/>
  <c r="A62" i="1"/>
  <c r="L61" i="1"/>
  <c r="A61" i="1"/>
  <c r="L60" i="1"/>
  <c r="A60" i="1"/>
  <c r="L59" i="1"/>
  <c r="A59" i="1"/>
  <c r="L58" i="1"/>
  <c r="A58" i="1"/>
  <c r="L57" i="1"/>
  <c r="A57" i="1"/>
  <c r="L56" i="1"/>
  <c r="A56" i="1"/>
  <c r="L55" i="1"/>
  <c r="A55" i="1"/>
  <c r="L54" i="1"/>
  <c r="A54" i="1"/>
  <c r="L53" i="1"/>
  <c r="A53" i="1"/>
  <c r="L52" i="1"/>
  <c r="A52" i="1"/>
  <c r="L51" i="1"/>
  <c r="A51" i="1"/>
  <c r="L50" i="1"/>
  <c r="A50" i="1"/>
  <c r="L49" i="1"/>
  <c r="A49" i="1"/>
  <c r="L48" i="1"/>
  <c r="A48" i="1"/>
  <c r="L47" i="1"/>
  <c r="A47" i="1"/>
  <c r="L46" i="1"/>
  <c r="A46" i="1"/>
  <c r="L45" i="1"/>
  <c r="A45" i="1"/>
  <c r="L44" i="1"/>
  <c r="A44" i="1"/>
  <c r="L43" i="1"/>
  <c r="A43" i="1"/>
  <c r="L42" i="1"/>
  <c r="A42" i="1"/>
  <c r="L41" i="1"/>
  <c r="A41" i="1"/>
  <c r="L40" i="1"/>
  <c r="A40" i="1"/>
  <c r="L39" i="1"/>
  <c r="A39" i="1"/>
  <c r="L38" i="1"/>
  <c r="A38" i="1"/>
  <c r="L37" i="1"/>
  <c r="A37" i="1"/>
  <c r="L36" i="1"/>
  <c r="A36" i="1"/>
  <c r="L35" i="1"/>
  <c r="A35" i="1"/>
  <c r="L34" i="1"/>
  <c r="A34" i="1"/>
  <c r="L33" i="1"/>
  <c r="A33" i="1"/>
  <c r="L32" i="1"/>
  <c r="A32" i="1"/>
  <c r="L31" i="1"/>
  <c r="A31" i="1"/>
  <c r="L30" i="1"/>
  <c r="A30" i="1"/>
  <c r="L29" i="1"/>
  <c r="A29" i="1"/>
  <c r="L28" i="1"/>
  <c r="A28" i="1"/>
  <c r="L27" i="1"/>
  <c r="A27" i="1"/>
  <c r="L26" i="1"/>
  <c r="A26" i="1"/>
  <c r="L25" i="1"/>
  <c r="A25" i="1"/>
  <c r="L24" i="1"/>
  <c r="A24" i="1"/>
  <c r="L23" i="1"/>
  <c r="A23" i="1"/>
  <c r="L22" i="1"/>
  <c r="A22" i="1"/>
  <c r="L21" i="1"/>
  <c r="A21" i="1"/>
  <c r="L20" i="1"/>
  <c r="A20" i="1"/>
  <c r="L19" i="1"/>
  <c r="A19" i="1"/>
  <c r="L18" i="1"/>
  <c r="A18" i="1"/>
  <c r="L17" i="1"/>
  <c r="A17" i="1"/>
  <c r="L16" i="1"/>
  <c r="A16" i="1"/>
  <c r="L15" i="1"/>
  <c r="A15" i="1"/>
  <c r="L14" i="1"/>
  <c r="A14" i="1"/>
  <c r="L13" i="1"/>
  <c r="A13" i="1"/>
  <c r="L12" i="1"/>
  <c r="A12" i="1"/>
  <c r="L11" i="1"/>
  <c r="A11" i="1"/>
  <c r="L10" i="1"/>
  <c r="A10" i="1"/>
  <c r="L9" i="1"/>
  <c r="A9" i="1"/>
  <c r="L8" i="1"/>
  <c r="A8" i="1"/>
  <c r="L7" i="1"/>
  <c r="A7" i="1"/>
  <c r="L6" i="1"/>
  <c r="A6" i="1"/>
  <c r="L5" i="1"/>
  <c r="A5" i="1"/>
  <c r="L4" i="1"/>
  <c r="A4" i="1"/>
  <c r="L3" i="1"/>
  <c r="A3" i="1"/>
  <c r="L2" i="1"/>
  <c r="A2" i="1"/>
</calcChain>
</file>

<file path=xl/sharedStrings.xml><?xml version="1.0" encoding="utf-8"?>
<sst xmlns="http://schemas.openxmlformats.org/spreadsheetml/2006/main" count="699" uniqueCount="308">
  <si>
    <t>Other_CRT_Ref</t>
  </si>
  <si>
    <t>Other_CRT_Main_Heading</t>
  </si>
  <si>
    <t>Other_CRT_Ordinal</t>
  </si>
  <si>
    <t>Other_CRT_Type_Mnemonic</t>
  </si>
  <si>
    <t>Other_CRT_Type</t>
  </si>
  <si>
    <t>Other_CRT_Compliance</t>
  </si>
  <si>
    <t>Other_CRT_Logic</t>
  </si>
  <si>
    <t>Other_CRT__Sub_Heading</t>
  </si>
  <si>
    <t>Other_CRT_Category</t>
  </si>
  <si>
    <t>Other_CRT_Sub_Category</t>
  </si>
  <si>
    <t>Other_CRT_Non_Compliance_Text</t>
  </si>
  <si>
    <t>Other_CRT_I_Info</t>
  </si>
  <si>
    <t>Other_CRT_USPH_Ref</t>
  </si>
  <si>
    <t>Other_CRT_ShipSan_Ref</t>
  </si>
  <si>
    <t>Other_CRT_Anvia_Ref</t>
  </si>
  <si>
    <t>Other_CRT_MPI_Ref</t>
  </si>
  <si>
    <t>Cockroach Trap Monitoring</t>
  </si>
  <si>
    <t>S</t>
  </si>
  <si>
    <t>Standard Trap</t>
  </si>
  <si>
    <t>Compliant</t>
  </si>
  <si>
    <t>Good</t>
  </si>
  <si>
    <t>Good Trap</t>
  </si>
  <si>
    <t>Required Standard</t>
  </si>
  <si>
    <t>Trap met the required standard for:&lt;ul&gt;
  &lt;li&gt;Assembly&lt;/li&gt;
  &lt;li&gt;Location&lt;/li&gt;
  &lt;li&gt;Inspection&lt;/li&gt;&lt;li&gt;Condition&lt;/li&gt;
&lt;/ul&gt;</t>
  </si>
  <si>
    <t>ShipSan Ref CRT Here 1</t>
  </si>
  <si>
    <t>Anvisa Ref CRT Here 1</t>
  </si>
  <si>
    <t>MPI Ref CRT Here 1</t>
  </si>
  <si>
    <t>Non-Compliant</t>
  </si>
  <si>
    <t>Missing</t>
  </si>
  <si>
    <t>Missing - Trap</t>
  </si>
  <si>
    <t>Not as IPM Log</t>
  </si>
  <si>
    <t>The trap was missing from the location although on the IPM Log as being required.</t>
  </si>
  <si>
    <t>ShipSan Ref CRT Here 18</t>
  </si>
  <si>
    <t>Anvisa Ref CRT Here 18</t>
  </si>
  <si>
    <t>MPI Ref CRT Here 18</t>
  </si>
  <si>
    <t>Location</t>
  </si>
  <si>
    <t>Deck</t>
  </si>
  <si>
    <t>Not on Deck</t>
  </si>
  <si>
    <t>Traps should be placed on the deck, not installed vertically.</t>
  </si>
  <si>
    <t>ShipSan Ref CRT Here 2</t>
  </si>
  <si>
    <t>Anvisa Ref CRT Here 2</t>
  </si>
  <si>
    <t>MPI Ref CRT Here 2</t>
  </si>
  <si>
    <t>Locker/Other</t>
  </si>
  <si>
    <t>Not Positioned Correctly</t>
  </si>
  <si>
    <t>The trap has been placed in a locker or other equipment preventing cockroach access.</t>
  </si>
  <si>
    <t>ShipSan Ref CRT Here 3</t>
  </si>
  <si>
    <t>Anvisa Ref CRT Here 3</t>
  </si>
  <si>
    <t>MPI Ref CRT Here 3</t>
  </si>
  <si>
    <t>IPM Log</t>
  </si>
  <si>
    <t>The trap has not been placed into the correct position as per the IPM Log.</t>
  </si>
  <si>
    <t>ShipSan Ref CRT Here 4</t>
  </si>
  <si>
    <t>Anvisa Ref CRT Here 4</t>
  </si>
  <si>
    <t>MPI Ref CRT Here 4</t>
  </si>
  <si>
    <t>Condition</t>
  </si>
  <si>
    <t>Assembly</t>
  </si>
  <si>
    <t>Poor</t>
  </si>
  <si>
    <t>Not assembled to the required standard.</t>
  </si>
  <si>
    <t>ShipSan Ref CRT Here 5</t>
  </si>
  <si>
    <t>Anvisa Ref CRT Here 5</t>
  </si>
  <si>
    <t>MPI Ref CRT Here 5</t>
  </si>
  <si>
    <t>Ramps</t>
  </si>
  <si>
    <t>Folded Out</t>
  </si>
  <si>
    <t>Ramps are folded out, they should be left in.</t>
  </si>
  <si>
    <t>ShipSan Ref CRT Here 6</t>
  </si>
  <si>
    <t>Anvisa Ref CRT Here 6</t>
  </si>
  <si>
    <t>MPI Ref CRT Here 6</t>
  </si>
  <si>
    <t>Wet/Crushed</t>
  </si>
  <si>
    <t>Wet/Soiled/Crushed</t>
  </si>
  <si>
    <t>The trap is ineffective being wet/soiled/crushed.</t>
  </si>
  <si>
    <t>ShipSan Ref CRT Here 7</t>
  </si>
  <si>
    <t>Anvisa Ref CRT Here 7</t>
  </si>
  <si>
    <t>MPI Ref CRT Here 7</t>
  </si>
  <si>
    <t>Reusing Traps</t>
  </si>
  <si>
    <t>Not Replaced</t>
  </si>
  <si>
    <t>Traps should be replaced each month at the start of the new IPM period.</t>
  </si>
  <si>
    <t>ShipSan Ref CRT Here 8</t>
  </si>
  <si>
    <t>Anvisa Ref CRT Here 8</t>
  </si>
  <si>
    <t>MPI Ref CRT Here 8</t>
  </si>
  <si>
    <t>Silicon Paper</t>
  </si>
  <si>
    <t>Not Removed</t>
  </si>
  <si>
    <t>The silicon release paper has not been removed to show glue, trap ineffective</t>
  </si>
  <si>
    <t>ShipSan Ref CRT Here 9</t>
  </si>
  <si>
    <t>Anvisa Ref CRT Here 9</t>
  </si>
  <si>
    <t>MPI Ref CRT Here 9</t>
  </si>
  <si>
    <t>Washdown</t>
  </si>
  <si>
    <t>Not Lifted</t>
  </si>
  <si>
    <t>During washdown the trap has not been lifted and placed back down after cleaning.</t>
  </si>
  <si>
    <t>ShipSan Ref CRT Here 10</t>
  </si>
  <si>
    <t>Anvisa Ref CRT Here 10</t>
  </si>
  <si>
    <t>MPI Ref CRT Here 10</t>
  </si>
  <si>
    <t>Inspection</t>
  </si>
  <si>
    <t>Date - Month</t>
  </si>
  <si>
    <t>3 Characters Required</t>
  </si>
  <si>
    <t>EU/USA dates differ, and to prevent confusion, the month should be in 3 characters (e.g. Jan, Feb, etc.)</t>
  </si>
  <si>
    <t>ShipSan Ref CRT Here 11</t>
  </si>
  <si>
    <t>Anvisa Ref CRT Here 11</t>
  </si>
  <si>
    <t>MPI Ref CRT Here 11</t>
  </si>
  <si>
    <t>Date - Missing</t>
  </si>
  <si>
    <t>No Trap in Place</t>
  </si>
  <si>
    <t>The inspection date is missing from the trap.</t>
  </si>
  <si>
    <t>ShipSan Ref CRT Here 12</t>
  </si>
  <si>
    <t>Anvisa Ref CRT Here 12</t>
  </si>
  <si>
    <t>MPI Ref CRT Here 12</t>
  </si>
  <si>
    <t>Date - Post Dated</t>
  </si>
  <si>
    <t>Only Weekly Dates Required</t>
  </si>
  <si>
    <t>Dates should not be pre-wriiten on the traps, only the actual date of inspection.</t>
  </si>
  <si>
    <t>ShipSan Ref CRT Here 13</t>
  </si>
  <si>
    <t>Anvisa Ref CRT Here 13</t>
  </si>
  <si>
    <t>MPI Ref CRT Here 13</t>
  </si>
  <si>
    <t>Date - IPM Period</t>
  </si>
  <si>
    <t>Incorrect Date</t>
  </si>
  <si>
    <t>Trap dates should follow the IPM Period dates shown in the IPM Log.</t>
  </si>
  <si>
    <t>ShipSan Ref CRT Here 14</t>
  </si>
  <si>
    <t>Anvisa Ref CRT Here 14</t>
  </si>
  <si>
    <t>MPI Ref CRT Here 14</t>
  </si>
  <si>
    <t>No Inspection Details</t>
  </si>
  <si>
    <t>Weekly Details Missing</t>
  </si>
  <si>
    <t>No inspection date, count or initials written on trap, a Public Health and IPM Plan requirement.</t>
  </si>
  <si>
    <t>ShipSan Ref CRT Here 15</t>
  </si>
  <si>
    <t>Anvisa Ref CRT Here 15</t>
  </si>
  <si>
    <t>MPI Ref CRT Here 15</t>
  </si>
  <si>
    <t>No Count</t>
  </si>
  <si>
    <t>No weekly count</t>
  </si>
  <si>
    <t>The Adult, Nymph (Baby) and Other weekly count is missing from the trap.</t>
  </si>
  <si>
    <t>ShipSan Ref CRT Here 16</t>
  </si>
  <si>
    <t>Anvisa Ref CRT Here 16</t>
  </si>
  <si>
    <t>MPI Ref CRT Here 16</t>
  </si>
  <si>
    <t>No Initials</t>
  </si>
  <si>
    <t>Initials missing</t>
  </si>
  <si>
    <t>The inspecting person's initials/signature are not written on the trap.</t>
  </si>
  <si>
    <t>ShipSan Ref CRT Here 17</t>
  </si>
  <si>
    <t>Anvisa Ref CRT Here 17</t>
  </si>
  <si>
    <t>MPI Ref CRT Here 17</t>
  </si>
  <si>
    <t>Graphic Missing</t>
  </si>
  <si>
    <t>No Weekly Inspections</t>
  </si>
  <si>
    <t>Weekly inspection details are required. Use the graphic supplied to stick on the trap.</t>
  </si>
  <si>
    <t>ShipSan Ref CRT Here 19</t>
  </si>
  <si>
    <t>Anvisa Ref CRT Here 19</t>
  </si>
  <si>
    <t>MPI Ref CRT Here 19</t>
  </si>
  <si>
    <t>Wrong Trap Type</t>
  </si>
  <si>
    <t>Incorrect</t>
  </si>
  <si>
    <t>There are  Standard (S), Monitor (M) and Silent Sentry (SS) traps, incorrect type used.</t>
  </si>
  <si>
    <t>ShipSan Ref CRT Here 20</t>
  </si>
  <si>
    <t>Anvisa Ref CRT Here 20</t>
  </si>
  <si>
    <t>MPI Ref CRT Here 20</t>
  </si>
  <si>
    <t>M</t>
  </si>
  <si>
    <t>Monitor Trap</t>
  </si>
  <si>
    <t>Trap met the required standard for assembly, location, inspections and condition.</t>
  </si>
  <si>
    <t>ShipSan Ref CRT Here 21</t>
  </si>
  <si>
    <t>Anvisa Ref CRT Here 21</t>
  </si>
  <si>
    <t>MPI Ref CRT Here 21</t>
  </si>
  <si>
    <t>ShipSan Ref CRT Here 38</t>
  </si>
  <si>
    <t>Anvisa Ref CRT Here 38</t>
  </si>
  <si>
    <t>MPI Ref CRT Here 38</t>
  </si>
  <si>
    <t>ShipSan Ref CRT Here 22</t>
  </si>
  <si>
    <t>Anvisa Ref CRT Here 22</t>
  </si>
  <si>
    <t>MPI Ref CRT Here 22</t>
  </si>
  <si>
    <t>ShipSan Ref CRT Here 23</t>
  </si>
  <si>
    <t>Anvisa Ref CRT Here 23</t>
  </si>
  <si>
    <t>MPI Ref CRT Here 23</t>
  </si>
  <si>
    <t>ShipSan Ref CRT Here 24</t>
  </si>
  <si>
    <t>Anvisa Ref CRT Here 24</t>
  </si>
  <si>
    <t>MPI Ref CRT Here 24</t>
  </si>
  <si>
    <t>ShipSan Ref CRT Here 25</t>
  </si>
  <si>
    <t>Anvisa Ref CRT Here 25</t>
  </si>
  <si>
    <t>MPI Ref CRT Here 25</t>
  </si>
  <si>
    <t>ShipSan Ref CRT Here 26</t>
  </si>
  <si>
    <t>Anvisa Ref CRT Here 26</t>
  </si>
  <si>
    <t>MPI Ref CRT Here 26</t>
  </si>
  <si>
    <t>ShipSan Ref CRT Here 27</t>
  </si>
  <si>
    <t>Anvisa Ref CRT Here 27</t>
  </si>
  <si>
    <t>MPI Ref CRT Here 27</t>
  </si>
  <si>
    <t>ShipSan Ref CRT Here 28</t>
  </si>
  <si>
    <t>Anvisa Ref CRT Here 28</t>
  </si>
  <si>
    <t>MPI Ref CRT Here 28</t>
  </si>
  <si>
    <t>ShipSan Ref CRT Here 29</t>
  </si>
  <si>
    <t>Anvisa Ref CRT Here 29</t>
  </si>
  <si>
    <t>MPI Ref CRT Here 29</t>
  </si>
  <si>
    <t>ShipSan Ref CRT Here 30</t>
  </si>
  <si>
    <t>Anvisa Ref CRT Here 30</t>
  </si>
  <si>
    <t>MPI Ref CRT Here 30</t>
  </si>
  <si>
    <t>ShipSan Ref CRT Here 31</t>
  </si>
  <si>
    <t>Anvisa Ref CRT Here 31</t>
  </si>
  <si>
    <t>MPI Ref CRT Here 31</t>
  </si>
  <si>
    <t>ShipSan Ref CRT Here 32</t>
  </si>
  <si>
    <t>Anvisa Ref CRT Here 32</t>
  </si>
  <si>
    <t>MPI Ref CRT Here 32</t>
  </si>
  <si>
    <t>ShipSan Ref CRT Here 33</t>
  </si>
  <si>
    <t>Anvisa Ref CRT Here 33</t>
  </si>
  <si>
    <t>MPI Ref CRT Here 33</t>
  </si>
  <si>
    <t>ShipSan Ref CRT Here 34</t>
  </si>
  <si>
    <t>Anvisa Ref CRT Here 34</t>
  </si>
  <si>
    <t>MPI Ref CRT Here 34</t>
  </si>
  <si>
    <t>Missing - Inspection Details</t>
  </si>
  <si>
    <t>ShipSan Ref CRT Here 35</t>
  </si>
  <si>
    <t>Anvisa Ref CRT Here 35</t>
  </si>
  <si>
    <t>MPI Ref CRT Here 35</t>
  </si>
  <si>
    <t>Missing - Count</t>
  </si>
  <si>
    <t>ShipSan Ref CRT Here 36</t>
  </si>
  <si>
    <t>Anvisa Ref CRT Here 36</t>
  </si>
  <si>
    <t>MPI Ref CRT Here 36</t>
  </si>
  <si>
    <t>Missing - Initials</t>
  </si>
  <si>
    <t>ShipSan Ref CRT Here 37</t>
  </si>
  <si>
    <t>Anvisa Ref CRT Here 37</t>
  </si>
  <si>
    <t>MPI Ref CRT Here 37</t>
  </si>
  <si>
    <t>ShipSan Ref CRT Here 39</t>
  </si>
  <si>
    <t>Anvisa Ref CRT Here 39</t>
  </si>
  <si>
    <t>MPI Ref CRT Here 39</t>
  </si>
  <si>
    <t>Type</t>
  </si>
  <si>
    <t>ShipSan Ref CRT Here 40</t>
  </si>
  <si>
    <t>Anvisa Ref CRT Here 40</t>
  </si>
  <si>
    <t>MPI Ref CRT Here 40</t>
  </si>
  <si>
    <t>SS</t>
  </si>
  <si>
    <t>Silent Sentry</t>
  </si>
  <si>
    <t>Met the required standard for trap assembly, location, inspections and condition.</t>
  </si>
  <si>
    <t>ShipSan Ref CRT Here 41</t>
  </si>
  <si>
    <t>Anvisa Ref CRT Here 41</t>
  </si>
  <si>
    <t>MPI Ref CRT Here 41</t>
  </si>
  <si>
    <t>Trap Missing</t>
  </si>
  <si>
    <t>No Trap in Silent Sentry</t>
  </si>
  <si>
    <t>The Silent Sentry is empty, no trap being used.</t>
  </si>
  <si>
    <t>ShipSan Ref CRT Here 53</t>
  </si>
  <si>
    <t>Anvisa Ref CRT Here 53</t>
  </si>
  <si>
    <t>MPI Ref CRT Here 53</t>
  </si>
  <si>
    <t>Traps should be placed on the deck.</t>
  </si>
  <si>
    <t>ShipSan Ref CRT Here 42</t>
  </si>
  <si>
    <t>Anvisa Ref CRT Here 42</t>
  </si>
  <si>
    <t>MPI Ref CRT Here 42</t>
  </si>
  <si>
    <t>ShipSan Ref CRT Here 43</t>
  </si>
  <si>
    <t>Anvisa Ref CRT Here 43</t>
  </si>
  <si>
    <t>MPI Ref CRT Here 43</t>
  </si>
  <si>
    <t>ShipSan Ref CRT Here 44</t>
  </si>
  <si>
    <t>Anvisa Ref CRT Here 44</t>
  </si>
  <si>
    <t>MPI Ref CRT Here 44</t>
  </si>
  <si>
    <t>Outside</t>
  </si>
  <si>
    <t>Missing Label</t>
  </si>
  <si>
    <t>Labels Required</t>
  </si>
  <si>
    <t>The IPM Plan requires the traps to have labels to show the trap location.</t>
  </si>
  <si>
    <t>ShipSan Ref CRT Here 45</t>
  </si>
  <si>
    <t>Anvisa Ref CRT Here 45</t>
  </si>
  <si>
    <t>MPI Ref CRT Here 45</t>
  </si>
  <si>
    <t>Dirty</t>
  </si>
  <si>
    <t>Dirty/Soiled/Dusty</t>
  </si>
  <si>
    <t>The case is soiled, can attract pests. As it is food-grade stainless Steel, use the dishwasher to clean it.</t>
  </si>
  <si>
    <t>ShipSan Ref CRT Here 46</t>
  </si>
  <si>
    <t>Anvisa Ref CRT Here 46</t>
  </si>
  <si>
    <t>MPI Ref CRT Here 46</t>
  </si>
  <si>
    <t>Damaged</t>
  </si>
  <si>
    <t>Replace Trap</t>
  </si>
  <si>
    <t>The trap is damaged. Get the Technical Department to correct it or order a new one.</t>
  </si>
  <si>
    <t>ShipSan Ref CRT Here 47</t>
  </si>
  <si>
    <t>Anvisa Ref CRT Here 47</t>
  </si>
  <si>
    <t>MPI Ref CRT Here 47</t>
  </si>
  <si>
    <t>Plastic Film</t>
  </si>
  <si>
    <t>Remove Film</t>
  </si>
  <si>
    <t>To make trap cleanable and stop pest attraction, remove manufacturer's protective film.</t>
  </si>
  <si>
    <t>ShipSan Ref CRT Here 48</t>
  </si>
  <si>
    <t>Anvisa Ref CRT Here 48</t>
  </si>
  <si>
    <t>MPI Ref CRT Here 48</t>
  </si>
  <si>
    <t>Inside</t>
  </si>
  <si>
    <t>Trap Type</t>
  </si>
  <si>
    <t>ShipSan Ref CRT Here 50</t>
  </si>
  <si>
    <t>Anvisa Ref CRT Here 50</t>
  </si>
  <si>
    <t>MPI Ref CRT Here 50</t>
  </si>
  <si>
    <t>Base Plate</t>
  </si>
  <si>
    <t>Upside Down</t>
  </si>
  <si>
    <t>The base plate is upside down, the raised tangs should be facing upwards.</t>
  </si>
  <si>
    <t>ShipSan Ref CRT Here 51</t>
  </si>
  <si>
    <t>Anvisa Ref CRT Here 51</t>
  </si>
  <si>
    <t>MPI Ref CRT Here 51</t>
  </si>
  <si>
    <t>Hinge Pins</t>
  </si>
  <si>
    <t>Base Plate Elevated</t>
  </si>
  <si>
    <t>The base plate should not be sitting in the hinge pins, put it under the hinge pins.</t>
  </si>
  <si>
    <t>ShipSan Ref CRT Here 52</t>
  </si>
  <si>
    <t>Anvisa Ref CRT Here 52</t>
  </si>
  <si>
    <t>MPI Ref CRT Here 52</t>
  </si>
  <si>
    <t>Wrong Type</t>
  </si>
  <si>
    <t>ShipSan Ref CRT Here 63</t>
  </si>
  <si>
    <t>Anvisa Ref CRT Here 63</t>
  </si>
  <si>
    <t>MPI Ref CRT Here 63</t>
  </si>
  <si>
    <t>My part way through fogging video of just Charlie from richer sounds he said how nice I got stores across the aether but I've located a slate grey one but it's open box and returned it he said not got a slate grey our KC 62 there is a slight damage to the</t>
  </si>
  <si>
    <t>ShipSan Ref CRT Here 54</t>
  </si>
  <si>
    <t>Anvisa Ref CRT Here 54</t>
  </si>
  <si>
    <t>MPI Ref CRT Here 54</t>
  </si>
  <si>
    <t>ShipSan Ref CRT Here 55</t>
  </si>
  <si>
    <t>Anvisa Ref CRT Here 55</t>
  </si>
  <si>
    <t>MPI Ref CRT Here 55</t>
  </si>
  <si>
    <t>ShipSan Ref CRT Here 56</t>
  </si>
  <si>
    <t>Anvisa Ref CRT Here 56</t>
  </si>
  <si>
    <t>MPI Ref CRT Here 56</t>
  </si>
  <si>
    <t>ShipSan Ref CRT Here 57</t>
  </si>
  <si>
    <t>Anvisa Ref CRT Here 57</t>
  </si>
  <si>
    <t>MPI Ref CRT Here 57</t>
  </si>
  <si>
    <t>ShipSan Ref CRT Here 58</t>
  </si>
  <si>
    <t>Anvisa Ref CRT Here 58</t>
  </si>
  <si>
    <t>MPI Ref CRT Here 58</t>
  </si>
  <si>
    <t>ShipSan Ref CRT Here 59</t>
  </si>
  <si>
    <t>Anvisa Ref CRT Here 59</t>
  </si>
  <si>
    <t>MPI Ref CRT Here 59</t>
  </si>
  <si>
    <t>ShipSan Ref CRT Here 60</t>
  </si>
  <si>
    <t>Anvisa Ref CRT Here 60</t>
  </si>
  <si>
    <t>MPI Ref CRT Here 60</t>
  </si>
  <si>
    <t>ShipSan Ref CRT Here 61</t>
  </si>
  <si>
    <t>Anvisa Ref CRT Here 61</t>
  </si>
  <si>
    <t>MPI Ref CRT Here 61</t>
  </si>
  <si>
    <t>ShipSan Ref CRT Here 62</t>
  </si>
  <si>
    <t>Anvisa Ref CRT Here 62</t>
  </si>
  <si>
    <t>MPI Ref CRT Here 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</si>
</sst>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68D8D-A811-465F-866B-9173EB74A351}">
  <dimension ref="A1:P63"/>
  <sheetViews>
    <sheetView tabSelected="1" workbookViewId="0">
      <selection activeCell="T2" sqref="T2"/>
    </sheetView>
  </sheetViews>
  <sheetFormatPr defaultRowHeight="15" x14ac:dyDescent="0.25"/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 ht="285" x14ac:dyDescent="0.25">
      <c r="A2" t="e">
        <f ca="1">MID(CELL("Filename",A1),FIND("]",CELL("Filename",A1))+1,255)</f>
        <v>#VALUE!</v>
      </c>
      <c r="B2" t="s">
        <v>16</v>
      </c>
      <c r="C2" s="2">
        <v>1</v>
      </c>
      <c r="D2" s="2" t="s">
        <v>17</v>
      </c>
      <c r="E2" s="2" t="s">
        <v>18</v>
      </c>
      <c r="F2" s="2" t="s">
        <v>19</v>
      </c>
      <c r="G2" s="2">
        <v>0</v>
      </c>
      <c r="H2" t="s">
        <v>20</v>
      </c>
      <c r="I2" t="s">
        <v>21</v>
      </c>
      <c r="J2" t="s">
        <v>22</v>
      </c>
      <c r="K2" s="3" t="s">
        <v>23</v>
      </c>
      <c r="L2" t="str">
        <f t="shared" ref="L2:L63" si="0">"("&amp;D2&amp;") "&amp;I2&amp;": "&amp;J2&amp;" "&amp;" - This text is for the 'I' icon."</f>
        <v>(S) Good Trap: Required Standard  - This text is for the 'I' icon.</v>
      </c>
      <c r="N2" t="s">
        <v>24</v>
      </c>
      <c r="O2" t="s">
        <v>25</v>
      </c>
      <c r="P2" t="s">
        <v>26</v>
      </c>
    </row>
    <row r="3" spans="1:16" x14ac:dyDescent="0.25">
      <c r="A3" t="e">
        <f ca="1">MID(CELL("Filename",A19),FIND("]",CELL("Filename",A19))+1,255)</f>
        <v>#VALUE!</v>
      </c>
      <c r="B3" t="s">
        <v>16</v>
      </c>
      <c r="C3" s="2">
        <v>2</v>
      </c>
      <c r="D3" s="2" t="s">
        <v>17</v>
      </c>
      <c r="E3" s="2" t="s">
        <v>18</v>
      </c>
      <c r="F3" s="2" t="s">
        <v>27</v>
      </c>
      <c r="G3" s="2">
        <v>0</v>
      </c>
      <c r="H3" t="s">
        <v>28</v>
      </c>
      <c r="I3" t="s">
        <v>29</v>
      </c>
      <c r="J3" t="s">
        <v>30</v>
      </c>
      <c r="K3" t="s">
        <v>31</v>
      </c>
      <c r="L3" t="str">
        <f>"("&amp;D3&amp;") "&amp;I3&amp;": "&amp;J3&amp;" "&amp;" - This text is for the 'I' icon."</f>
        <v>(S) Missing - Trap: Not as IPM Log  - This text is for the 'I' icon.</v>
      </c>
      <c r="N3" t="s">
        <v>32</v>
      </c>
      <c r="O3" t="s">
        <v>33</v>
      </c>
      <c r="P3" t="s">
        <v>34</v>
      </c>
    </row>
    <row r="4" spans="1:16" x14ac:dyDescent="0.25">
      <c r="A4" t="e">
        <f ca="1">MID(CELL("Filename",A9),FIND("]",CELL("Filename",A9))+1,255)</f>
        <v>#VALUE!</v>
      </c>
      <c r="B4" t="s">
        <v>16</v>
      </c>
      <c r="C4" s="2">
        <v>3</v>
      </c>
      <c r="D4" s="2" t="s">
        <v>17</v>
      </c>
      <c r="E4" s="2" t="s">
        <v>18</v>
      </c>
      <c r="F4" s="2" t="s">
        <v>27</v>
      </c>
      <c r="G4" s="2">
        <v>1</v>
      </c>
      <c r="H4" t="s">
        <v>35</v>
      </c>
      <c r="I4" t="s">
        <v>36</v>
      </c>
      <c r="J4" t="s">
        <v>37</v>
      </c>
      <c r="K4" t="s">
        <v>38</v>
      </c>
      <c r="L4" t="str">
        <f t="shared" si="0"/>
        <v>(S) Deck: Not on Deck  - This text is for the 'I' icon.</v>
      </c>
      <c r="N4" t="s">
        <v>39</v>
      </c>
      <c r="O4" t="s">
        <v>40</v>
      </c>
      <c r="P4" t="s">
        <v>41</v>
      </c>
    </row>
    <row r="5" spans="1:16" x14ac:dyDescent="0.25">
      <c r="A5" t="e">
        <f ca="1">MID(CELL("Filename",A10),FIND("]",CELL("Filename",A10))+1,255)</f>
        <v>#VALUE!</v>
      </c>
      <c r="B5" t="s">
        <v>16</v>
      </c>
      <c r="C5" s="2">
        <v>3</v>
      </c>
      <c r="D5" s="2" t="s">
        <v>17</v>
      </c>
      <c r="E5" s="2" t="s">
        <v>18</v>
      </c>
      <c r="F5" s="2" t="s">
        <v>27</v>
      </c>
      <c r="G5" s="2">
        <v>1</v>
      </c>
      <c r="H5" t="s">
        <v>35</v>
      </c>
      <c r="I5" t="s">
        <v>42</v>
      </c>
      <c r="J5" t="s">
        <v>43</v>
      </c>
      <c r="K5" t="s">
        <v>44</v>
      </c>
      <c r="L5" t="str">
        <f t="shared" si="0"/>
        <v>(S) Locker/Other: Not Positioned Correctly  - This text is for the 'I' icon.</v>
      </c>
      <c r="N5" t="s">
        <v>45</v>
      </c>
      <c r="O5" t="s">
        <v>46</v>
      </c>
      <c r="P5" t="s">
        <v>47</v>
      </c>
    </row>
    <row r="6" spans="1:16" x14ac:dyDescent="0.25">
      <c r="A6" t="e">
        <f ca="1">MID(CELL("Filename",A11),FIND("]",CELL("Filename",A11))+1,255)</f>
        <v>#VALUE!</v>
      </c>
      <c r="B6" t="s">
        <v>16</v>
      </c>
      <c r="C6" s="2">
        <v>3</v>
      </c>
      <c r="D6" s="2" t="s">
        <v>17</v>
      </c>
      <c r="E6" s="2" t="s">
        <v>18</v>
      </c>
      <c r="F6" s="2" t="s">
        <v>27</v>
      </c>
      <c r="G6" s="2">
        <v>1</v>
      </c>
      <c r="H6" t="s">
        <v>35</v>
      </c>
      <c r="I6" s="4" t="s">
        <v>48</v>
      </c>
      <c r="J6" s="4" t="s">
        <v>30</v>
      </c>
      <c r="K6" t="s">
        <v>49</v>
      </c>
      <c r="L6" t="str">
        <f t="shared" si="0"/>
        <v>(S) IPM Log: Not as IPM Log  - This text is for the 'I' icon.</v>
      </c>
      <c r="N6" t="s">
        <v>50</v>
      </c>
      <c r="O6" t="s">
        <v>51</v>
      </c>
      <c r="P6" t="s">
        <v>52</v>
      </c>
    </row>
    <row r="7" spans="1:16" x14ac:dyDescent="0.25">
      <c r="A7" t="e">
        <f ca="1">MID(CELL("Filename",A1),FIND("]",CELL("Filename",A1))+1,255)</f>
        <v>#VALUE!</v>
      </c>
      <c r="B7" t="s">
        <v>16</v>
      </c>
      <c r="C7" s="2">
        <v>4</v>
      </c>
      <c r="D7" s="2" t="s">
        <v>17</v>
      </c>
      <c r="E7" s="2" t="s">
        <v>18</v>
      </c>
      <c r="F7" s="2" t="s">
        <v>27</v>
      </c>
      <c r="G7" s="2">
        <v>2</v>
      </c>
      <c r="H7" t="s">
        <v>53</v>
      </c>
      <c r="I7" t="s">
        <v>54</v>
      </c>
      <c r="J7" t="s">
        <v>55</v>
      </c>
      <c r="K7" t="s">
        <v>56</v>
      </c>
      <c r="L7" t="str">
        <f t="shared" si="0"/>
        <v>(S) Assembly: Poor  - This text is for the 'I' icon.</v>
      </c>
      <c r="N7" t="s">
        <v>57</v>
      </c>
      <c r="O7" t="s">
        <v>58</v>
      </c>
      <c r="P7" t="s">
        <v>59</v>
      </c>
    </row>
    <row r="8" spans="1:16" x14ac:dyDescent="0.25">
      <c r="A8" t="e">
        <f t="shared" ref="A8:A41" ca="1" si="1">MID(CELL("Filename",A7),FIND("]",CELL("Filename",A7))+1,255)</f>
        <v>#VALUE!</v>
      </c>
      <c r="B8" t="s">
        <v>16</v>
      </c>
      <c r="C8" s="2">
        <v>4</v>
      </c>
      <c r="D8" s="2" t="s">
        <v>17</v>
      </c>
      <c r="E8" s="2" t="s">
        <v>18</v>
      </c>
      <c r="F8" s="2" t="s">
        <v>27</v>
      </c>
      <c r="G8" s="2">
        <v>2</v>
      </c>
      <c r="H8" t="s">
        <v>53</v>
      </c>
      <c r="I8" t="s">
        <v>60</v>
      </c>
      <c r="J8" t="s">
        <v>61</v>
      </c>
      <c r="K8" t="s">
        <v>62</v>
      </c>
      <c r="L8" t="str">
        <f t="shared" si="0"/>
        <v>(S) Ramps: Folded Out  - This text is for the 'I' icon.</v>
      </c>
      <c r="N8" t="s">
        <v>63</v>
      </c>
      <c r="O8" t="s">
        <v>64</v>
      </c>
      <c r="P8" t="s">
        <v>65</v>
      </c>
    </row>
    <row r="9" spans="1:16" x14ac:dyDescent="0.25">
      <c r="A9" t="e">
        <f ca="1">MID(CELL("Filename",A11),FIND("]",CELL("Filename",A11))+1,255)</f>
        <v>#VALUE!</v>
      </c>
      <c r="B9" t="s">
        <v>16</v>
      </c>
      <c r="C9" s="2">
        <v>4</v>
      </c>
      <c r="D9" s="2" t="s">
        <v>17</v>
      </c>
      <c r="E9" s="2" t="s">
        <v>18</v>
      </c>
      <c r="F9" s="2" t="s">
        <v>27</v>
      </c>
      <c r="G9" s="2">
        <v>2</v>
      </c>
      <c r="H9" t="s">
        <v>53</v>
      </c>
      <c r="I9" t="s">
        <v>66</v>
      </c>
      <c r="J9" t="s">
        <v>67</v>
      </c>
      <c r="K9" t="s">
        <v>68</v>
      </c>
      <c r="L9" t="str">
        <f t="shared" si="0"/>
        <v>(S) Wet/Crushed: Wet/Soiled/Crushed  - This text is for the 'I' icon.</v>
      </c>
      <c r="N9" t="s">
        <v>69</v>
      </c>
      <c r="O9" t="s">
        <v>70</v>
      </c>
      <c r="P9" t="s">
        <v>71</v>
      </c>
    </row>
    <row r="10" spans="1:16" x14ac:dyDescent="0.25">
      <c r="A10" t="e">
        <f ca="1">MID(CELL("Filename",A5),FIND("]",CELL("Filename",A5))+1,255)</f>
        <v>#VALUE!</v>
      </c>
      <c r="B10" t="s">
        <v>16</v>
      </c>
      <c r="C10" s="2">
        <v>4</v>
      </c>
      <c r="D10" s="2" t="s">
        <v>17</v>
      </c>
      <c r="E10" s="2" t="s">
        <v>18</v>
      </c>
      <c r="F10" s="2" t="s">
        <v>27</v>
      </c>
      <c r="G10" s="2">
        <v>2</v>
      </c>
      <c r="H10" t="s">
        <v>53</v>
      </c>
      <c r="I10" t="s">
        <v>72</v>
      </c>
      <c r="J10" t="s">
        <v>73</v>
      </c>
      <c r="K10" t="s">
        <v>74</v>
      </c>
      <c r="L10" t="str">
        <f t="shared" si="0"/>
        <v>(S) Reusing Traps: Not Replaced  - This text is for the 'I' icon.</v>
      </c>
      <c r="N10" t="s">
        <v>75</v>
      </c>
      <c r="O10" t="s">
        <v>76</v>
      </c>
      <c r="P10" t="s">
        <v>77</v>
      </c>
    </row>
    <row r="11" spans="1:16" x14ac:dyDescent="0.25">
      <c r="A11" t="e">
        <f ca="1">MID(CELL("Filename",A6),FIND("]",CELL("Filename",A6))+1,255)</f>
        <v>#VALUE!</v>
      </c>
      <c r="B11" t="s">
        <v>16</v>
      </c>
      <c r="C11" s="2">
        <v>4</v>
      </c>
      <c r="D11" s="2" t="s">
        <v>17</v>
      </c>
      <c r="E11" s="2" t="s">
        <v>18</v>
      </c>
      <c r="F11" s="2" t="s">
        <v>27</v>
      </c>
      <c r="G11" s="2">
        <v>2</v>
      </c>
      <c r="H11" t="s">
        <v>53</v>
      </c>
      <c r="I11" t="s">
        <v>78</v>
      </c>
      <c r="J11" t="s">
        <v>79</v>
      </c>
      <c r="K11" t="s">
        <v>80</v>
      </c>
      <c r="L11" t="str">
        <f t="shared" si="0"/>
        <v>(S) Silicon Paper: Not Removed  - This text is for the 'I' icon.</v>
      </c>
      <c r="N11" t="s">
        <v>81</v>
      </c>
      <c r="O11" t="s">
        <v>82</v>
      </c>
      <c r="P11" t="s">
        <v>83</v>
      </c>
    </row>
    <row r="12" spans="1:16" x14ac:dyDescent="0.25">
      <c r="A12" t="e">
        <f ca="1">MID(CELL("Filename",A4),FIND("]",CELL("Filename",A4))+1,255)</f>
        <v>#VALUE!</v>
      </c>
      <c r="B12" t="s">
        <v>16</v>
      </c>
      <c r="C12" s="2">
        <v>4</v>
      </c>
      <c r="D12" s="2" t="s">
        <v>17</v>
      </c>
      <c r="E12" s="2" t="s">
        <v>18</v>
      </c>
      <c r="F12" s="2" t="s">
        <v>27</v>
      </c>
      <c r="G12" s="2">
        <v>2</v>
      </c>
      <c r="H12" t="s">
        <v>53</v>
      </c>
      <c r="I12" t="s">
        <v>84</v>
      </c>
      <c r="J12" t="s">
        <v>85</v>
      </c>
      <c r="K12" t="s">
        <v>86</v>
      </c>
      <c r="L12" t="str">
        <f t="shared" si="0"/>
        <v>(S) Washdown: Not Lifted  - This text is for the 'I' icon.</v>
      </c>
      <c r="N12" t="s">
        <v>87</v>
      </c>
      <c r="O12" t="s">
        <v>88</v>
      </c>
      <c r="P12" t="s">
        <v>89</v>
      </c>
    </row>
    <row r="13" spans="1:16" x14ac:dyDescent="0.25">
      <c r="A13" t="e">
        <f ca="1">MID(CELL("Filename",A21),FIND("]",CELL("Filename",A21))+1,255)</f>
        <v>#VALUE!</v>
      </c>
      <c r="B13" t="s">
        <v>16</v>
      </c>
      <c r="C13" s="2">
        <v>5</v>
      </c>
      <c r="D13" s="2" t="s">
        <v>17</v>
      </c>
      <c r="E13" s="2" t="s">
        <v>18</v>
      </c>
      <c r="F13" s="2" t="s">
        <v>27</v>
      </c>
      <c r="G13" s="2">
        <v>3</v>
      </c>
      <c r="H13" t="s">
        <v>90</v>
      </c>
      <c r="I13" t="s">
        <v>91</v>
      </c>
      <c r="J13" t="s">
        <v>92</v>
      </c>
      <c r="K13" t="s">
        <v>93</v>
      </c>
      <c r="L13" t="str">
        <f t="shared" si="0"/>
        <v>(S) Date - Month: 3 Characters Required  - This text is for the 'I' icon.</v>
      </c>
      <c r="N13" t="s">
        <v>94</v>
      </c>
      <c r="O13" t="s">
        <v>95</v>
      </c>
      <c r="P13" t="s">
        <v>96</v>
      </c>
    </row>
    <row r="14" spans="1:16" x14ac:dyDescent="0.25">
      <c r="A14" t="e">
        <f ca="1">MID(CELL("Filename",A13),FIND("]",CELL("Filename",A13))+1,255)</f>
        <v>#VALUE!</v>
      </c>
      <c r="B14" t="s">
        <v>16</v>
      </c>
      <c r="C14" s="2">
        <v>5</v>
      </c>
      <c r="D14" s="2" t="s">
        <v>17</v>
      </c>
      <c r="E14" s="2" t="s">
        <v>18</v>
      </c>
      <c r="F14" s="2" t="s">
        <v>27</v>
      </c>
      <c r="G14" s="2">
        <v>3</v>
      </c>
      <c r="H14" t="s">
        <v>90</v>
      </c>
      <c r="I14" t="s">
        <v>97</v>
      </c>
      <c r="J14" t="s">
        <v>98</v>
      </c>
      <c r="K14" t="s">
        <v>99</v>
      </c>
      <c r="L14" t="str">
        <f t="shared" si="0"/>
        <v>(S) Date - Missing: No Trap in Place  - This text is for the 'I' icon.</v>
      </c>
      <c r="N14" t="s">
        <v>100</v>
      </c>
      <c r="O14" t="s">
        <v>101</v>
      </c>
      <c r="P14" t="s">
        <v>102</v>
      </c>
    </row>
    <row r="15" spans="1:16" x14ac:dyDescent="0.25">
      <c r="A15" t="e">
        <f ca="1">MID(CELL("Filename",A11),FIND("]",CELL("Filename",A11))+1,255)</f>
        <v>#VALUE!</v>
      </c>
      <c r="B15" t="s">
        <v>16</v>
      </c>
      <c r="C15" s="2">
        <v>5</v>
      </c>
      <c r="D15" s="2" t="s">
        <v>17</v>
      </c>
      <c r="E15" s="2" t="s">
        <v>18</v>
      </c>
      <c r="F15" s="2" t="s">
        <v>27</v>
      </c>
      <c r="G15" s="2">
        <v>3</v>
      </c>
      <c r="H15" t="s">
        <v>90</v>
      </c>
      <c r="I15" t="s">
        <v>103</v>
      </c>
      <c r="J15" t="s">
        <v>104</v>
      </c>
      <c r="K15" t="s">
        <v>105</v>
      </c>
      <c r="L15" t="str">
        <f t="shared" si="0"/>
        <v>(S) Date - Post Dated: Only Weekly Dates Required  - This text is for the 'I' icon.</v>
      </c>
      <c r="N15" t="s">
        <v>106</v>
      </c>
      <c r="O15" t="s">
        <v>107</v>
      </c>
      <c r="P15" t="s">
        <v>108</v>
      </c>
    </row>
    <row r="16" spans="1:16" x14ac:dyDescent="0.25">
      <c r="A16" t="e">
        <f ca="1">MID(CELL("Filename",A12),FIND("]",CELL("Filename",A12))+1,255)</f>
        <v>#VALUE!</v>
      </c>
      <c r="B16" t="s">
        <v>16</v>
      </c>
      <c r="C16" s="2">
        <v>5</v>
      </c>
      <c r="D16" s="2" t="s">
        <v>17</v>
      </c>
      <c r="E16" s="2" t="s">
        <v>18</v>
      </c>
      <c r="F16" s="2" t="s">
        <v>27</v>
      </c>
      <c r="G16" s="2">
        <v>3</v>
      </c>
      <c r="H16" t="s">
        <v>90</v>
      </c>
      <c r="I16" t="s">
        <v>109</v>
      </c>
      <c r="J16" t="s">
        <v>110</v>
      </c>
      <c r="K16" t="s">
        <v>111</v>
      </c>
      <c r="L16" t="str">
        <f t="shared" si="0"/>
        <v>(S) Date - IPM Period: Incorrect Date  - This text is for the 'I' icon.</v>
      </c>
      <c r="N16" t="s">
        <v>112</v>
      </c>
      <c r="O16" t="s">
        <v>113</v>
      </c>
      <c r="P16" t="s">
        <v>114</v>
      </c>
    </row>
    <row r="17" spans="1:16" x14ac:dyDescent="0.25">
      <c r="A17" t="e">
        <f ca="1">MID(CELL("Filename",A3),FIND("]",CELL("Filename",A3))+1,255)</f>
        <v>#VALUE!</v>
      </c>
      <c r="B17" t="s">
        <v>16</v>
      </c>
      <c r="C17" s="2">
        <v>5</v>
      </c>
      <c r="D17" s="2" t="s">
        <v>17</v>
      </c>
      <c r="E17" s="2" t="s">
        <v>18</v>
      </c>
      <c r="F17" s="2" t="s">
        <v>27</v>
      </c>
      <c r="G17" s="2">
        <v>3</v>
      </c>
      <c r="H17" t="s">
        <v>90</v>
      </c>
      <c r="I17" t="s">
        <v>115</v>
      </c>
      <c r="J17" s="4" t="s">
        <v>116</v>
      </c>
      <c r="K17" t="s">
        <v>117</v>
      </c>
      <c r="L17" t="str">
        <f t="shared" si="0"/>
        <v>(S) No Inspection Details: Weekly Details Missing  - This text is for the 'I' icon.</v>
      </c>
      <c r="N17" t="s">
        <v>118</v>
      </c>
      <c r="O17" t="s">
        <v>119</v>
      </c>
      <c r="P17" t="s">
        <v>120</v>
      </c>
    </row>
    <row r="18" spans="1:16" x14ac:dyDescent="0.25">
      <c r="A18" t="e">
        <f ca="1">MID(CELL("Filename",A3),FIND("]",CELL("Filename",A3))+1,255)</f>
        <v>#VALUE!</v>
      </c>
      <c r="B18" t="s">
        <v>16</v>
      </c>
      <c r="C18" s="2">
        <v>5</v>
      </c>
      <c r="D18" s="2" t="s">
        <v>17</v>
      </c>
      <c r="E18" s="2" t="s">
        <v>18</v>
      </c>
      <c r="F18" s="2" t="s">
        <v>27</v>
      </c>
      <c r="G18" s="2">
        <v>3</v>
      </c>
      <c r="H18" t="s">
        <v>90</v>
      </c>
      <c r="I18" t="s">
        <v>121</v>
      </c>
      <c r="J18" s="4" t="s">
        <v>122</v>
      </c>
      <c r="K18" t="s">
        <v>123</v>
      </c>
      <c r="L18" t="str">
        <f t="shared" si="0"/>
        <v>(S) No Count: No weekly count  - This text is for the 'I' icon.</v>
      </c>
      <c r="N18" t="s">
        <v>124</v>
      </c>
      <c r="O18" t="s">
        <v>125</v>
      </c>
      <c r="P18" t="s">
        <v>126</v>
      </c>
    </row>
    <row r="19" spans="1:16" x14ac:dyDescent="0.25">
      <c r="A19" t="e">
        <f ca="1">MID(CELL("Filename",A14),FIND("]",CELL("Filename",A14))+1,255)</f>
        <v>#VALUE!</v>
      </c>
      <c r="B19" t="s">
        <v>16</v>
      </c>
      <c r="C19" s="2">
        <v>5</v>
      </c>
      <c r="D19" s="2" t="s">
        <v>17</v>
      </c>
      <c r="E19" s="2" t="s">
        <v>18</v>
      </c>
      <c r="F19" s="2" t="s">
        <v>27</v>
      </c>
      <c r="G19" s="2">
        <v>3</v>
      </c>
      <c r="H19" t="s">
        <v>90</v>
      </c>
      <c r="I19" t="s">
        <v>127</v>
      </c>
      <c r="J19" s="5" t="s">
        <v>128</v>
      </c>
      <c r="K19" t="s">
        <v>129</v>
      </c>
      <c r="L19" t="str">
        <f t="shared" si="0"/>
        <v>(S) No Initials: Initials missing  - This text is for the 'I' icon.</v>
      </c>
      <c r="N19" t="s">
        <v>130</v>
      </c>
      <c r="O19" t="s">
        <v>131</v>
      </c>
      <c r="P19" t="s">
        <v>132</v>
      </c>
    </row>
    <row r="20" spans="1:16" x14ac:dyDescent="0.25">
      <c r="A20" t="e">
        <f ca="1">MID(CELL("Filename",A9),FIND("]",CELL("Filename",A9))+1,255)</f>
        <v>#VALUE!</v>
      </c>
      <c r="B20" t="s">
        <v>16</v>
      </c>
      <c r="C20" s="2">
        <v>5</v>
      </c>
      <c r="D20" s="2" t="s">
        <v>17</v>
      </c>
      <c r="E20" s="2" t="s">
        <v>18</v>
      </c>
      <c r="F20" s="2" t="s">
        <v>27</v>
      </c>
      <c r="G20" s="2">
        <v>3</v>
      </c>
      <c r="H20" t="s">
        <v>90</v>
      </c>
      <c r="I20" t="s">
        <v>133</v>
      </c>
      <c r="J20" t="s">
        <v>134</v>
      </c>
      <c r="K20" t="s">
        <v>135</v>
      </c>
      <c r="L20" t="str">
        <f t="shared" si="0"/>
        <v>(S) Graphic Missing: No Weekly Inspections  - This text is for the 'I' icon.</v>
      </c>
      <c r="N20" t="s">
        <v>136</v>
      </c>
      <c r="O20" t="s">
        <v>137</v>
      </c>
      <c r="P20" t="s">
        <v>138</v>
      </c>
    </row>
    <row r="21" spans="1:16" x14ac:dyDescent="0.25">
      <c r="A21" t="e">
        <f ca="1">MID(CELL("Filename",A10),FIND("]",CELL("Filename",A10))+1,255)</f>
        <v>#VALUE!</v>
      </c>
      <c r="B21" t="s">
        <v>16</v>
      </c>
      <c r="C21" s="2">
        <v>5</v>
      </c>
      <c r="D21" s="2" t="s">
        <v>17</v>
      </c>
      <c r="E21" s="2" t="s">
        <v>18</v>
      </c>
      <c r="F21" s="2" t="s">
        <v>27</v>
      </c>
      <c r="G21" s="2">
        <v>3</v>
      </c>
      <c r="H21" t="s">
        <v>90</v>
      </c>
      <c r="I21" t="s">
        <v>139</v>
      </c>
      <c r="J21" t="s">
        <v>140</v>
      </c>
      <c r="K21" t="s">
        <v>141</v>
      </c>
      <c r="L21" t="str">
        <f t="shared" si="0"/>
        <v>(S) Wrong Trap Type: Incorrect  - This text is for the 'I' icon.</v>
      </c>
      <c r="N21" t="s">
        <v>142</v>
      </c>
      <c r="O21" t="s">
        <v>143</v>
      </c>
      <c r="P21" t="s">
        <v>144</v>
      </c>
    </row>
    <row r="22" spans="1:16" x14ac:dyDescent="0.25">
      <c r="A22" t="e">
        <f ca="1">MID(CELL("Filename",A12),FIND("]",CELL("Filename",A12))+1,255)</f>
        <v>#VALUE!</v>
      </c>
      <c r="B22" t="s">
        <v>16</v>
      </c>
      <c r="C22" s="2">
        <v>1</v>
      </c>
      <c r="D22" s="2" t="s">
        <v>145</v>
      </c>
      <c r="E22" s="2" t="s">
        <v>146</v>
      </c>
      <c r="F22" s="2" t="s">
        <v>19</v>
      </c>
      <c r="G22" s="2">
        <v>0</v>
      </c>
      <c r="H22" t="s">
        <v>20</v>
      </c>
      <c r="I22" t="s">
        <v>21</v>
      </c>
      <c r="J22" t="s">
        <v>22</v>
      </c>
      <c r="K22" t="s">
        <v>147</v>
      </c>
      <c r="L22" t="str">
        <f t="shared" si="0"/>
        <v>(M) Good Trap: Required Standard  - This text is for the 'I' icon.</v>
      </c>
      <c r="N22" t="s">
        <v>148</v>
      </c>
      <c r="O22" t="s">
        <v>149</v>
      </c>
      <c r="P22" t="s">
        <v>150</v>
      </c>
    </row>
    <row r="23" spans="1:16" x14ac:dyDescent="0.25">
      <c r="A23" t="e">
        <f ca="1">MID(CELL("Filename",A39),FIND("]",CELL("Filename",A39))+1,255)</f>
        <v>#VALUE!</v>
      </c>
      <c r="B23" t="s">
        <v>16</v>
      </c>
      <c r="C23" s="2">
        <v>2</v>
      </c>
      <c r="D23" s="2" t="s">
        <v>145</v>
      </c>
      <c r="E23" s="2" t="s">
        <v>146</v>
      </c>
      <c r="F23" s="2" t="s">
        <v>27</v>
      </c>
      <c r="G23" s="2">
        <v>0</v>
      </c>
      <c r="H23" t="s">
        <v>28</v>
      </c>
      <c r="I23" t="s">
        <v>29</v>
      </c>
      <c r="J23" t="s">
        <v>30</v>
      </c>
      <c r="K23" t="s">
        <v>31</v>
      </c>
      <c r="L23" t="str">
        <f>"("&amp;D23&amp;") "&amp;I23&amp;": "&amp;J23&amp;" "&amp;" - This text is for the 'I' icon."</f>
        <v>(M) Missing - Trap: Not as IPM Log  - This text is for the 'I' icon.</v>
      </c>
      <c r="N23" t="s">
        <v>151</v>
      </c>
      <c r="O23" t="s">
        <v>152</v>
      </c>
      <c r="P23" t="s">
        <v>153</v>
      </c>
    </row>
    <row r="24" spans="1:16" x14ac:dyDescent="0.25">
      <c r="A24" t="e">
        <f ca="1">MID(CELL("Filename",A41),FIND("]",CELL("Filename",A41))+1,255)</f>
        <v>#VALUE!</v>
      </c>
      <c r="B24" t="s">
        <v>16</v>
      </c>
      <c r="C24" s="2">
        <v>3</v>
      </c>
      <c r="D24" s="2" t="s">
        <v>145</v>
      </c>
      <c r="E24" s="2" t="s">
        <v>146</v>
      </c>
      <c r="F24" s="2" t="s">
        <v>27</v>
      </c>
      <c r="G24" s="2">
        <v>1</v>
      </c>
      <c r="H24" t="s">
        <v>35</v>
      </c>
      <c r="I24" t="s">
        <v>36</v>
      </c>
      <c r="J24" t="s">
        <v>37</v>
      </c>
      <c r="K24" t="s">
        <v>38</v>
      </c>
      <c r="L24" t="str">
        <f t="shared" si="0"/>
        <v>(M) Deck: Not on Deck  - This text is for the 'I' icon.</v>
      </c>
      <c r="N24" t="s">
        <v>154</v>
      </c>
      <c r="O24" t="s">
        <v>155</v>
      </c>
      <c r="P24" t="s">
        <v>156</v>
      </c>
    </row>
    <row r="25" spans="1:16" x14ac:dyDescent="0.25">
      <c r="A25" t="e">
        <f ca="1">MID(CELL("Filename",A24),FIND("]",CELL("Filename",A24))+1,255)</f>
        <v>#VALUE!</v>
      </c>
      <c r="B25" t="s">
        <v>16</v>
      </c>
      <c r="C25" s="2">
        <v>3</v>
      </c>
      <c r="D25" s="2" t="s">
        <v>145</v>
      </c>
      <c r="E25" s="2" t="s">
        <v>146</v>
      </c>
      <c r="F25" s="2" t="s">
        <v>27</v>
      </c>
      <c r="G25" s="2">
        <v>1</v>
      </c>
      <c r="H25" t="s">
        <v>35</v>
      </c>
      <c r="I25" t="s">
        <v>42</v>
      </c>
      <c r="J25" t="s">
        <v>43</v>
      </c>
      <c r="K25" t="s">
        <v>44</v>
      </c>
      <c r="L25" t="str">
        <f t="shared" si="0"/>
        <v>(M) Locker/Other: Not Positioned Correctly  - This text is for the 'I' icon.</v>
      </c>
      <c r="N25" t="s">
        <v>157</v>
      </c>
      <c r="O25" t="s">
        <v>158</v>
      </c>
      <c r="P25" t="s">
        <v>159</v>
      </c>
    </row>
    <row r="26" spans="1:16" x14ac:dyDescent="0.25">
      <c r="A26" t="e">
        <f ca="1">MID(CELL("Filename",A25),FIND("]",CELL("Filename",A25))+1,255)</f>
        <v>#VALUE!</v>
      </c>
      <c r="B26" t="s">
        <v>16</v>
      </c>
      <c r="C26" s="2">
        <v>3</v>
      </c>
      <c r="D26" s="2" t="s">
        <v>145</v>
      </c>
      <c r="E26" s="2" t="s">
        <v>146</v>
      </c>
      <c r="F26" s="2" t="s">
        <v>27</v>
      </c>
      <c r="G26" s="2">
        <v>1</v>
      </c>
      <c r="H26" t="s">
        <v>35</v>
      </c>
      <c r="I26" s="4" t="s">
        <v>48</v>
      </c>
      <c r="J26" s="4" t="s">
        <v>30</v>
      </c>
      <c r="K26" t="s">
        <v>49</v>
      </c>
      <c r="L26" t="str">
        <f t="shared" si="0"/>
        <v>(M) IPM Log: Not as IPM Log  - This text is for the 'I' icon.</v>
      </c>
      <c r="N26" t="s">
        <v>160</v>
      </c>
      <c r="O26" t="s">
        <v>161</v>
      </c>
      <c r="P26" t="s">
        <v>162</v>
      </c>
    </row>
    <row r="27" spans="1:16" x14ac:dyDescent="0.25">
      <c r="A27" t="e">
        <f ca="1">MID(CELL("Filename",A22),FIND("]",CELL("Filename",A22))+1,255)</f>
        <v>#VALUE!</v>
      </c>
      <c r="B27" t="s">
        <v>16</v>
      </c>
      <c r="C27" s="2">
        <v>4</v>
      </c>
      <c r="D27" s="2" t="s">
        <v>145</v>
      </c>
      <c r="E27" s="2" t="s">
        <v>146</v>
      </c>
      <c r="F27" s="2" t="s">
        <v>27</v>
      </c>
      <c r="G27" s="2">
        <v>2</v>
      </c>
      <c r="H27" t="s">
        <v>53</v>
      </c>
      <c r="I27" t="s">
        <v>54</v>
      </c>
      <c r="J27" t="s">
        <v>55</v>
      </c>
      <c r="K27" t="s">
        <v>56</v>
      </c>
      <c r="L27" t="str">
        <f t="shared" si="0"/>
        <v>(M) Assembly: Poor  - This text is for the 'I' icon.</v>
      </c>
      <c r="N27" t="s">
        <v>163</v>
      </c>
      <c r="O27" t="s">
        <v>164</v>
      </c>
      <c r="P27" t="s">
        <v>165</v>
      </c>
    </row>
    <row r="28" spans="1:16" x14ac:dyDescent="0.25">
      <c r="A28" t="e">
        <f t="shared" ca="1" si="1"/>
        <v>#VALUE!</v>
      </c>
      <c r="B28" t="s">
        <v>16</v>
      </c>
      <c r="C28" s="2">
        <v>4</v>
      </c>
      <c r="D28" s="2" t="s">
        <v>145</v>
      </c>
      <c r="E28" s="2" t="s">
        <v>146</v>
      </c>
      <c r="F28" s="2" t="s">
        <v>27</v>
      </c>
      <c r="G28" s="2">
        <v>2</v>
      </c>
      <c r="H28" t="s">
        <v>53</v>
      </c>
      <c r="I28" t="s">
        <v>60</v>
      </c>
      <c r="J28" t="s">
        <v>61</v>
      </c>
      <c r="K28" t="s">
        <v>62</v>
      </c>
      <c r="L28" t="str">
        <f t="shared" si="0"/>
        <v>(M) Ramps: Folded Out  - This text is for the 'I' icon.</v>
      </c>
      <c r="N28" t="s">
        <v>166</v>
      </c>
      <c r="O28" t="s">
        <v>167</v>
      </c>
      <c r="P28" t="s">
        <v>168</v>
      </c>
    </row>
    <row r="29" spans="1:16" x14ac:dyDescent="0.25">
      <c r="A29" t="e">
        <f t="shared" ca="1" si="1"/>
        <v>#VALUE!</v>
      </c>
      <c r="B29" t="s">
        <v>16</v>
      </c>
      <c r="C29" s="2">
        <v>4</v>
      </c>
      <c r="D29" s="2" t="s">
        <v>145</v>
      </c>
      <c r="E29" s="2" t="s">
        <v>146</v>
      </c>
      <c r="F29" s="2" t="s">
        <v>27</v>
      </c>
      <c r="G29" s="2">
        <v>2</v>
      </c>
      <c r="H29" t="s">
        <v>53</v>
      </c>
      <c r="I29" t="s">
        <v>66</v>
      </c>
      <c r="J29" t="s">
        <v>67</v>
      </c>
      <c r="K29" t="s">
        <v>68</v>
      </c>
      <c r="L29" t="str">
        <f t="shared" si="0"/>
        <v>(M) Wet/Crushed: Wet/Soiled/Crushed  - This text is for the 'I' icon.</v>
      </c>
      <c r="N29" t="s">
        <v>169</v>
      </c>
      <c r="O29" t="s">
        <v>170</v>
      </c>
      <c r="P29" t="s">
        <v>171</v>
      </c>
    </row>
    <row r="30" spans="1:16" x14ac:dyDescent="0.25">
      <c r="A30" t="e">
        <f t="shared" ca="1" si="1"/>
        <v>#VALUE!</v>
      </c>
      <c r="B30" t="s">
        <v>16</v>
      </c>
      <c r="C30" s="2">
        <v>4</v>
      </c>
      <c r="D30" s="2" t="s">
        <v>145</v>
      </c>
      <c r="E30" s="2" t="s">
        <v>146</v>
      </c>
      <c r="F30" s="2" t="s">
        <v>27</v>
      </c>
      <c r="G30" s="2">
        <v>2</v>
      </c>
      <c r="H30" t="s">
        <v>53</v>
      </c>
      <c r="I30" t="s">
        <v>72</v>
      </c>
      <c r="J30" t="s">
        <v>73</v>
      </c>
      <c r="K30" t="s">
        <v>74</v>
      </c>
      <c r="L30" t="str">
        <f t="shared" si="0"/>
        <v>(M) Reusing Traps: Not Replaced  - This text is for the 'I' icon.</v>
      </c>
      <c r="N30" t="s">
        <v>172</v>
      </c>
      <c r="O30" t="s">
        <v>173</v>
      </c>
      <c r="P30" t="s">
        <v>174</v>
      </c>
    </row>
    <row r="31" spans="1:16" x14ac:dyDescent="0.25">
      <c r="A31" t="e">
        <f t="shared" ca="1" si="1"/>
        <v>#VALUE!</v>
      </c>
      <c r="B31" t="s">
        <v>16</v>
      </c>
      <c r="C31" s="2">
        <v>4</v>
      </c>
      <c r="D31" s="2" t="s">
        <v>145</v>
      </c>
      <c r="E31" s="2" t="s">
        <v>146</v>
      </c>
      <c r="F31" s="2" t="s">
        <v>27</v>
      </c>
      <c r="G31" s="2">
        <v>2</v>
      </c>
      <c r="H31" t="s">
        <v>53</v>
      </c>
      <c r="I31" t="s">
        <v>78</v>
      </c>
      <c r="J31" t="s">
        <v>79</v>
      </c>
      <c r="K31" t="s">
        <v>80</v>
      </c>
      <c r="L31" t="str">
        <f t="shared" si="0"/>
        <v>(M) Silicon Paper: Not Removed  - This text is for the 'I' icon.</v>
      </c>
      <c r="N31" t="s">
        <v>175</v>
      </c>
      <c r="O31" t="s">
        <v>176</v>
      </c>
      <c r="P31" t="s">
        <v>177</v>
      </c>
    </row>
    <row r="32" spans="1:16" x14ac:dyDescent="0.25">
      <c r="A32" t="e">
        <f t="shared" ca="1" si="1"/>
        <v>#VALUE!</v>
      </c>
      <c r="B32" t="s">
        <v>16</v>
      </c>
      <c r="C32" s="2">
        <v>4</v>
      </c>
      <c r="D32" s="2" t="s">
        <v>145</v>
      </c>
      <c r="E32" s="2" t="s">
        <v>146</v>
      </c>
      <c r="F32" s="2" t="s">
        <v>27</v>
      </c>
      <c r="G32" s="2">
        <v>2</v>
      </c>
      <c r="H32" t="s">
        <v>53</v>
      </c>
      <c r="I32" t="s">
        <v>84</v>
      </c>
      <c r="J32" t="s">
        <v>85</v>
      </c>
      <c r="K32" t="s">
        <v>86</v>
      </c>
      <c r="L32" t="str">
        <f t="shared" si="0"/>
        <v>(M) Washdown: Not Lifted  - This text is for the 'I' icon.</v>
      </c>
      <c r="N32" t="s">
        <v>178</v>
      </c>
      <c r="O32" t="s">
        <v>179</v>
      </c>
      <c r="P32" t="s">
        <v>180</v>
      </c>
    </row>
    <row r="33" spans="1:16" x14ac:dyDescent="0.25">
      <c r="A33" t="e">
        <f t="shared" ca="1" si="1"/>
        <v>#VALUE!</v>
      </c>
      <c r="B33" t="s">
        <v>16</v>
      </c>
      <c r="C33" s="2">
        <v>5</v>
      </c>
      <c r="D33" s="2" t="s">
        <v>145</v>
      </c>
      <c r="E33" s="2" t="s">
        <v>146</v>
      </c>
      <c r="F33" s="2" t="s">
        <v>27</v>
      </c>
      <c r="G33" s="2">
        <v>3</v>
      </c>
      <c r="H33" t="s">
        <v>90</v>
      </c>
      <c r="I33" t="s">
        <v>91</v>
      </c>
      <c r="J33" t="s">
        <v>92</v>
      </c>
      <c r="K33" t="s">
        <v>93</v>
      </c>
      <c r="L33" t="str">
        <f t="shared" si="0"/>
        <v>(M) Date - Month: 3 Characters Required  - This text is for the 'I' icon.</v>
      </c>
      <c r="N33" t="s">
        <v>181</v>
      </c>
      <c r="O33" t="s">
        <v>182</v>
      </c>
      <c r="P33" t="s">
        <v>183</v>
      </c>
    </row>
    <row r="34" spans="1:16" x14ac:dyDescent="0.25">
      <c r="A34" t="e">
        <f t="shared" ca="1" si="1"/>
        <v>#VALUE!</v>
      </c>
      <c r="B34" t="s">
        <v>16</v>
      </c>
      <c r="C34" s="2">
        <v>5</v>
      </c>
      <c r="D34" s="2" t="s">
        <v>145</v>
      </c>
      <c r="E34" s="2" t="s">
        <v>146</v>
      </c>
      <c r="F34" s="2" t="s">
        <v>27</v>
      </c>
      <c r="G34" s="2">
        <v>3</v>
      </c>
      <c r="H34" t="s">
        <v>90</v>
      </c>
      <c r="I34" t="s">
        <v>97</v>
      </c>
      <c r="J34" t="s">
        <v>98</v>
      </c>
      <c r="K34" t="s">
        <v>99</v>
      </c>
      <c r="L34" t="str">
        <f t="shared" si="0"/>
        <v>(M) Date - Missing: No Trap in Place  - This text is for the 'I' icon.</v>
      </c>
      <c r="N34" t="s">
        <v>184</v>
      </c>
      <c r="O34" t="s">
        <v>185</v>
      </c>
      <c r="P34" t="s">
        <v>186</v>
      </c>
    </row>
    <row r="35" spans="1:16" x14ac:dyDescent="0.25">
      <c r="A35" t="e">
        <f ca="1">MID(CELL("Filename",A31),FIND("]",CELL("Filename",A31))+1,255)</f>
        <v>#VALUE!</v>
      </c>
      <c r="B35" t="s">
        <v>16</v>
      </c>
      <c r="C35" s="2">
        <v>5</v>
      </c>
      <c r="D35" s="2" t="s">
        <v>145</v>
      </c>
      <c r="E35" s="2" t="s">
        <v>146</v>
      </c>
      <c r="F35" s="2" t="s">
        <v>27</v>
      </c>
      <c r="G35" s="2">
        <v>3</v>
      </c>
      <c r="H35" t="s">
        <v>90</v>
      </c>
      <c r="I35" t="s">
        <v>103</v>
      </c>
      <c r="J35" t="s">
        <v>104</v>
      </c>
      <c r="K35" t="s">
        <v>105</v>
      </c>
      <c r="L35" t="str">
        <f t="shared" si="0"/>
        <v>(M) Date - Post Dated: Only Weekly Dates Required  - This text is for the 'I' icon.</v>
      </c>
      <c r="N35" t="s">
        <v>187</v>
      </c>
      <c r="O35" t="s">
        <v>188</v>
      </c>
      <c r="P35" t="s">
        <v>189</v>
      </c>
    </row>
    <row r="36" spans="1:16" x14ac:dyDescent="0.25">
      <c r="A36" t="e">
        <f ca="1">MID(CELL("Filename",A32),FIND("]",CELL("Filename",A32))+1,255)</f>
        <v>#VALUE!</v>
      </c>
      <c r="B36" t="s">
        <v>16</v>
      </c>
      <c r="C36" s="2">
        <v>5</v>
      </c>
      <c r="D36" s="2" t="s">
        <v>145</v>
      </c>
      <c r="E36" s="2" t="s">
        <v>146</v>
      </c>
      <c r="F36" s="2" t="s">
        <v>27</v>
      </c>
      <c r="G36" s="2">
        <v>3</v>
      </c>
      <c r="H36" t="s">
        <v>90</v>
      </c>
      <c r="I36" t="s">
        <v>109</v>
      </c>
      <c r="J36" t="s">
        <v>110</v>
      </c>
      <c r="K36" t="s">
        <v>111</v>
      </c>
      <c r="L36" t="str">
        <f t="shared" si="0"/>
        <v>(M) Date - IPM Period: Incorrect Date  - This text is for the 'I' icon.</v>
      </c>
      <c r="N36" t="s">
        <v>190</v>
      </c>
      <c r="O36" t="s">
        <v>191</v>
      </c>
      <c r="P36" t="s">
        <v>192</v>
      </c>
    </row>
    <row r="37" spans="1:16" x14ac:dyDescent="0.25">
      <c r="A37" t="e">
        <f ca="1">MID(CELL("Filename",A34),FIND("]",CELL("Filename",A34))+1,255)</f>
        <v>#VALUE!</v>
      </c>
      <c r="B37" t="s">
        <v>16</v>
      </c>
      <c r="C37" s="2">
        <v>5</v>
      </c>
      <c r="D37" s="2" t="s">
        <v>145</v>
      </c>
      <c r="E37" s="2" t="s">
        <v>146</v>
      </c>
      <c r="F37" s="2" t="s">
        <v>27</v>
      </c>
      <c r="G37" s="2">
        <v>3</v>
      </c>
      <c r="H37" t="s">
        <v>90</v>
      </c>
      <c r="I37" t="s">
        <v>193</v>
      </c>
      <c r="J37" s="4" t="s">
        <v>116</v>
      </c>
      <c r="K37" t="s">
        <v>117</v>
      </c>
      <c r="L37" t="str">
        <f t="shared" si="0"/>
        <v>(M) Missing - Inspection Details: Weekly Details Missing  - This text is for the 'I' icon.</v>
      </c>
      <c r="N37" t="s">
        <v>194</v>
      </c>
      <c r="O37" t="s">
        <v>195</v>
      </c>
      <c r="P37" t="s">
        <v>196</v>
      </c>
    </row>
    <row r="38" spans="1:16" x14ac:dyDescent="0.25">
      <c r="A38" t="e">
        <f t="shared" ca="1" si="1"/>
        <v>#VALUE!</v>
      </c>
      <c r="B38" t="s">
        <v>16</v>
      </c>
      <c r="C38" s="2">
        <v>5</v>
      </c>
      <c r="D38" s="2" t="s">
        <v>145</v>
      </c>
      <c r="E38" s="2" t="s">
        <v>146</v>
      </c>
      <c r="F38" s="2" t="s">
        <v>27</v>
      </c>
      <c r="G38" s="2">
        <v>3</v>
      </c>
      <c r="H38" t="s">
        <v>90</v>
      </c>
      <c r="I38" t="s">
        <v>197</v>
      </c>
      <c r="J38" s="4" t="s">
        <v>122</v>
      </c>
      <c r="K38" t="s">
        <v>123</v>
      </c>
      <c r="L38" t="str">
        <f t="shared" si="0"/>
        <v>(M) Missing - Count: No weekly count  - This text is for the 'I' icon.</v>
      </c>
      <c r="N38" t="s">
        <v>198</v>
      </c>
      <c r="O38" t="s">
        <v>199</v>
      </c>
      <c r="P38" t="s">
        <v>200</v>
      </c>
    </row>
    <row r="39" spans="1:16" x14ac:dyDescent="0.25">
      <c r="A39" t="e">
        <f t="shared" ca="1" si="1"/>
        <v>#VALUE!</v>
      </c>
      <c r="B39" t="s">
        <v>16</v>
      </c>
      <c r="C39" s="2">
        <v>5</v>
      </c>
      <c r="D39" s="2" t="s">
        <v>145</v>
      </c>
      <c r="E39" s="2" t="s">
        <v>146</v>
      </c>
      <c r="F39" s="2" t="s">
        <v>27</v>
      </c>
      <c r="G39" s="2">
        <v>3</v>
      </c>
      <c r="H39" t="s">
        <v>90</v>
      </c>
      <c r="I39" t="s">
        <v>201</v>
      </c>
      <c r="J39" s="5" t="s">
        <v>128</v>
      </c>
      <c r="K39" t="s">
        <v>129</v>
      </c>
      <c r="L39" t="str">
        <f t="shared" si="0"/>
        <v>(M) Missing - Initials: Initials missing  - This text is for the 'I' icon.</v>
      </c>
      <c r="N39" t="s">
        <v>202</v>
      </c>
      <c r="O39" t="s">
        <v>203</v>
      </c>
      <c r="P39" t="s">
        <v>204</v>
      </c>
    </row>
    <row r="40" spans="1:16" x14ac:dyDescent="0.25">
      <c r="A40" t="e">
        <f ca="1">MID(CELL("Filename",A23),FIND("]",CELL("Filename",A23))+1,255)</f>
        <v>#VALUE!</v>
      </c>
      <c r="B40" t="s">
        <v>16</v>
      </c>
      <c r="C40" s="2">
        <v>5</v>
      </c>
      <c r="D40" s="2" t="s">
        <v>145</v>
      </c>
      <c r="E40" s="2" t="s">
        <v>146</v>
      </c>
      <c r="F40" s="2" t="s">
        <v>27</v>
      </c>
      <c r="G40" s="2">
        <v>3</v>
      </c>
      <c r="H40" t="s">
        <v>90</v>
      </c>
      <c r="I40" t="s">
        <v>133</v>
      </c>
      <c r="J40" t="s">
        <v>134</v>
      </c>
      <c r="K40" t="s">
        <v>135</v>
      </c>
      <c r="L40" t="str">
        <f t="shared" si="0"/>
        <v>(M) Graphic Missing: No Weekly Inspections  - This text is for the 'I' icon.</v>
      </c>
      <c r="N40" t="s">
        <v>205</v>
      </c>
      <c r="O40" t="s">
        <v>206</v>
      </c>
      <c r="P40" t="s">
        <v>207</v>
      </c>
    </row>
    <row r="41" spans="1:16" x14ac:dyDescent="0.25">
      <c r="A41" t="e">
        <f t="shared" ca="1" si="1"/>
        <v>#VALUE!</v>
      </c>
      <c r="B41" t="s">
        <v>16</v>
      </c>
      <c r="C41" s="2">
        <v>5</v>
      </c>
      <c r="D41" s="2" t="s">
        <v>145</v>
      </c>
      <c r="E41" s="2" t="s">
        <v>146</v>
      </c>
      <c r="F41" s="2" t="s">
        <v>27</v>
      </c>
      <c r="G41" s="2">
        <v>3</v>
      </c>
      <c r="H41" t="s">
        <v>90</v>
      </c>
      <c r="I41" t="s">
        <v>208</v>
      </c>
      <c r="J41" t="s">
        <v>140</v>
      </c>
      <c r="K41" t="s">
        <v>141</v>
      </c>
      <c r="L41" t="str">
        <f t="shared" si="0"/>
        <v>(M) Type: Incorrect  - This text is for the 'I' icon.</v>
      </c>
      <c r="N41" t="s">
        <v>209</v>
      </c>
      <c r="O41" t="s">
        <v>210</v>
      </c>
      <c r="P41" t="s">
        <v>211</v>
      </c>
    </row>
    <row r="42" spans="1:16" x14ac:dyDescent="0.25">
      <c r="A42" t="e">
        <f ca="1">MID(CELL("Filename",A21),FIND("]",CELL("Filename",A21))+1,255)</f>
        <v>#VALUE!</v>
      </c>
      <c r="B42" t="s">
        <v>16</v>
      </c>
      <c r="C42" s="2">
        <v>1</v>
      </c>
      <c r="D42" s="2" t="s">
        <v>212</v>
      </c>
      <c r="E42" s="2" t="s">
        <v>213</v>
      </c>
      <c r="F42" s="2" t="s">
        <v>19</v>
      </c>
      <c r="G42" s="2">
        <v>0</v>
      </c>
      <c r="H42" t="s">
        <v>20</v>
      </c>
      <c r="I42" s="4" t="s">
        <v>21</v>
      </c>
      <c r="J42" t="s">
        <v>22</v>
      </c>
      <c r="K42" t="s">
        <v>214</v>
      </c>
      <c r="L42" t="str">
        <f t="shared" si="0"/>
        <v>(SS) Good Trap: Required Standard  - This text is for the 'I' icon.</v>
      </c>
      <c r="N42" t="s">
        <v>215</v>
      </c>
      <c r="O42" t="s">
        <v>216</v>
      </c>
      <c r="P42" t="s">
        <v>217</v>
      </c>
    </row>
    <row r="43" spans="1:16" x14ac:dyDescent="0.25">
      <c r="A43" t="e">
        <f ca="1">MID(CELL("Filename",A53),FIND("]",CELL("Filename",A53))+1,255)</f>
        <v>#VALUE!</v>
      </c>
      <c r="B43" t="s">
        <v>16</v>
      </c>
      <c r="C43" s="2">
        <v>2</v>
      </c>
      <c r="D43" s="2" t="s">
        <v>212</v>
      </c>
      <c r="E43" s="2" t="s">
        <v>213</v>
      </c>
      <c r="F43" s="2" t="s">
        <v>27</v>
      </c>
      <c r="G43" s="2">
        <v>0</v>
      </c>
      <c r="H43" s="5" t="s">
        <v>28</v>
      </c>
      <c r="I43" t="s">
        <v>218</v>
      </c>
      <c r="J43" s="4" t="s">
        <v>219</v>
      </c>
      <c r="K43" t="s">
        <v>220</v>
      </c>
      <c r="L43" t="str">
        <f>"("&amp;D43&amp;") "&amp;I43&amp;": "&amp;J43&amp;" "&amp;" - This text is for the 'I' icon."</f>
        <v>(SS) Trap Missing: No Trap in Silent Sentry  - This text is for the 'I' icon.</v>
      </c>
      <c r="N43" t="s">
        <v>221</v>
      </c>
      <c r="O43" t="s">
        <v>222</v>
      </c>
      <c r="P43" t="s">
        <v>223</v>
      </c>
    </row>
    <row r="44" spans="1:16" x14ac:dyDescent="0.25">
      <c r="A44" t="e">
        <f ca="1">MID(CELL("Filename",A54),FIND("]",CELL("Filename",A54))+1,255)</f>
        <v>#VALUE!</v>
      </c>
      <c r="B44" t="s">
        <v>16</v>
      </c>
      <c r="C44" s="2">
        <v>3</v>
      </c>
      <c r="D44" s="2" t="s">
        <v>212</v>
      </c>
      <c r="E44" s="2" t="s">
        <v>213</v>
      </c>
      <c r="F44" s="2" t="s">
        <v>27</v>
      </c>
      <c r="G44" s="2">
        <v>1</v>
      </c>
      <c r="H44" t="s">
        <v>35</v>
      </c>
      <c r="I44" t="s">
        <v>36</v>
      </c>
      <c r="J44" t="s">
        <v>37</v>
      </c>
      <c r="K44" t="s">
        <v>224</v>
      </c>
      <c r="L44" t="str">
        <f t="shared" si="0"/>
        <v>(SS) Deck: Not on Deck  - This text is for the 'I' icon.</v>
      </c>
      <c r="N44" t="s">
        <v>225</v>
      </c>
      <c r="O44" t="s">
        <v>226</v>
      </c>
      <c r="P44" t="s">
        <v>227</v>
      </c>
    </row>
    <row r="45" spans="1:16" x14ac:dyDescent="0.25">
      <c r="A45" t="e">
        <f ca="1">MID(CELL("Filename",A44),FIND("]",CELL("Filename",A44))+1,255)</f>
        <v>#VALUE!</v>
      </c>
      <c r="B45" t="s">
        <v>16</v>
      </c>
      <c r="C45" s="2">
        <v>3</v>
      </c>
      <c r="D45" s="2" t="s">
        <v>212</v>
      </c>
      <c r="E45" s="2" t="s">
        <v>213</v>
      </c>
      <c r="F45" s="2" t="s">
        <v>27</v>
      </c>
      <c r="G45" s="2">
        <v>1</v>
      </c>
      <c r="H45" t="s">
        <v>35</v>
      </c>
      <c r="I45" t="s">
        <v>42</v>
      </c>
      <c r="J45" t="s">
        <v>43</v>
      </c>
      <c r="K45" t="s">
        <v>44</v>
      </c>
      <c r="L45" t="str">
        <f t="shared" si="0"/>
        <v>(SS) Locker/Other: Not Positioned Correctly  - This text is for the 'I' icon.</v>
      </c>
      <c r="N45" t="s">
        <v>228</v>
      </c>
      <c r="O45" t="s">
        <v>229</v>
      </c>
      <c r="P45" t="s">
        <v>230</v>
      </c>
    </row>
    <row r="46" spans="1:16" x14ac:dyDescent="0.25">
      <c r="A46" t="e">
        <f ca="1">MID(CELL("Filename",A45),FIND("]",CELL("Filename",A45))+1,255)</f>
        <v>#VALUE!</v>
      </c>
      <c r="B46" t="s">
        <v>16</v>
      </c>
      <c r="C46" s="2">
        <v>3</v>
      </c>
      <c r="D46" s="2" t="s">
        <v>212</v>
      </c>
      <c r="E46" s="2" t="s">
        <v>213</v>
      </c>
      <c r="F46" s="2" t="s">
        <v>27</v>
      </c>
      <c r="G46" s="2">
        <v>1</v>
      </c>
      <c r="H46" t="s">
        <v>35</v>
      </c>
      <c r="I46" s="4" t="s">
        <v>48</v>
      </c>
      <c r="J46" s="4" t="s">
        <v>30</v>
      </c>
      <c r="K46" t="s">
        <v>49</v>
      </c>
      <c r="L46" t="str">
        <f t="shared" si="0"/>
        <v>(SS) IPM Log: Not as IPM Log  - This text is for the 'I' icon.</v>
      </c>
      <c r="N46" t="s">
        <v>231</v>
      </c>
      <c r="O46" t="s">
        <v>232</v>
      </c>
      <c r="P46" t="s">
        <v>233</v>
      </c>
    </row>
    <row r="47" spans="1:16" x14ac:dyDescent="0.25">
      <c r="A47" t="e">
        <f ca="1">MID(CELL("Filename",A42),FIND("]",CELL("Filename",A42))+1,255)</f>
        <v>#VALUE!</v>
      </c>
      <c r="B47" t="s">
        <v>16</v>
      </c>
      <c r="C47" s="2">
        <v>4</v>
      </c>
      <c r="D47" s="2" t="s">
        <v>212</v>
      </c>
      <c r="E47" s="2" t="s">
        <v>213</v>
      </c>
      <c r="F47" s="2" t="s">
        <v>27</v>
      </c>
      <c r="G47" s="2">
        <v>2</v>
      </c>
      <c r="H47" s="4" t="s">
        <v>234</v>
      </c>
      <c r="I47" s="4" t="s">
        <v>235</v>
      </c>
      <c r="J47" s="4" t="s">
        <v>236</v>
      </c>
      <c r="K47" s="4" t="s">
        <v>237</v>
      </c>
      <c r="L47" t="str">
        <f t="shared" si="0"/>
        <v>(SS) Missing Label: Labels Required  - This text is for the 'I' icon.</v>
      </c>
      <c r="N47" t="s">
        <v>238</v>
      </c>
      <c r="O47" t="s">
        <v>239</v>
      </c>
      <c r="P47" t="s">
        <v>240</v>
      </c>
    </row>
    <row r="48" spans="1:16" x14ac:dyDescent="0.25">
      <c r="A48" t="e">
        <f t="shared" ref="A48:A53" ca="1" si="2">MID(CELL("Filename",A47),FIND("]",CELL("Filename",A47))+1,255)</f>
        <v>#VALUE!</v>
      </c>
      <c r="B48" t="s">
        <v>16</v>
      </c>
      <c r="C48" s="2">
        <v>4</v>
      </c>
      <c r="D48" s="2" t="s">
        <v>212</v>
      </c>
      <c r="E48" s="2" t="s">
        <v>213</v>
      </c>
      <c r="F48" s="2" t="s">
        <v>27</v>
      </c>
      <c r="G48" s="2">
        <v>2</v>
      </c>
      <c r="H48" s="4" t="s">
        <v>234</v>
      </c>
      <c r="I48" s="4" t="s">
        <v>241</v>
      </c>
      <c r="J48" t="s">
        <v>242</v>
      </c>
      <c r="K48" t="s">
        <v>243</v>
      </c>
      <c r="L48" t="str">
        <f t="shared" si="0"/>
        <v>(SS) Dirty: Dirty/Soiled/Dusty  - This text is for the 'I' icon.</v>
      </c>
      <c r="N48" t="s">
        <v>244</v>
      </c>
      <c r="O48" t="s">
        <v>245</v>
      </c>
      <c r="P48" t="s">
        <v>246</v>
      </c>
    </row>
    <row r="49" spans="1:16" x14ac:dyDescent="0.25">
      <c r="A49" t="e">
        <f t="shared" ca="1" si="2"/>
        <v>#VALUE!</v>
      </c>
      <c r="B49" t="s">
        <v>16</v>
      </c>
      <c r="C49" s="2">
        <v>4</v>
      </c>
      <c r="D49" s="2" t="s">
        <v>212</v>
      </c>
      <c r="E49" s="2" t="s">
        <v>213</v>
      </c>
      <c r="F49" s="2" t="s">
        <v>27</v>
      </c>
      <c r="G49" s="2">
        <v>2</v>
      </c>
      <c r="H49" s="4" t="s">
        <v>234</v>
      </c>
      <c r="I49" s="4" t="s">
        <v>247</v>
      </c>
      <c r="J49" s="4" t="s">
        <v>248</v>
      </c>
      <c r="K49" s="4" t="s">
        <v>249</v>
      </c>
      <c r="L49" t="str">
        <f t="shared" si="0"/>
        <v>(SS) Damaged: Replace Trap  - This text is for the 'I' icon.</v>
      </c>
      <c r="N49" t="s">
        <v>250</v>
      </c>
      <c r="O49" t="s">
        <v>251</v>
      </c>
      <c r="P49" t="s">
        <v>252</v>
      </c>
    </row>
    <row r="50" spans="1:16" x14ac:dyDescent="0.25">
      <c r="A50" t="e">
        <f t="shared" ca="1" si="2"/>
        <v>#VALUE!</v>
      </c>
      <c r="B50" t="s">
        <v>16</v>
      </c>
      <c r="C50" s="2">
        <v>4</v>
      </c>
      <c r="D50" s="2" t="s">
        <v>212</v>
      </c>
      <c r="E50" s="2" t="s">
        <v>213</v>
      </c>
      <c r="F50" s="2" t="s">
        <v>27</v>
      </c>
      <c r="G50" s="2">
        <v>2</v>
      </c>
      <c r="H50" s="4" t="s">
        <v>234</v>
      </c>
      <c r="I50" s="4" t="s">
        <v>253</v>
      </c>
      <c r="J50" s="4" t="s">
        <v>254</v>
      </c>
      <c r="K50" s="4" t="s">
        <v>255</v>
      </c>
      <c r="L50" t="str">
        <f t="shared" si="0"/>
        <v>(SS) Plastic Film: Remove Film  - This text is for the 'I' icon.</v>
      </c>
      <c r="N50" t="s">
        <v>256</v>
      </c>
      <c r="O50" t="s">
        <v>257</v>
      </c>
      <c r="P50" t="s">
        <v>258</v>
      </c>
    </row>
    <row r="51" spans="1:16" x14ac:dyDescent="0.25">
      <c r="A51" t="e">
        <f ca="1">MID(CELL("Filename",#REF!),FIND("]",CELL("Filename",#REF!))+1,255)</f>
        <v>#REF!</v>
      </c>
      <c r="B51" t="s">
        <v>16</v>
      </c>
      <c r="C51" s="2">
        <v>5</v>
      </c>
      <c r="D51" s="2" t="s">
        <v>212</v>
      </c>
      <c r="E51" s="2" t="s">
        <v>213</v>
      </c>
      <c r="F51" s="2" t="s">
        <v>27</v>
      </c>
      <c r="G51" s="2">
        <v>3</v>
      </c>
      <c r="H51" s="5" t="s">
        <v>259</v>
      </c>
      <c r="I51" t="s">
        <v>260</v>
      </c>
      <c r="J51" t="s">
        <v>140</v>
      </c>
      <c r="K51" t="s">
        <v>141</v>
      </c>
      <c r="L51" t="str">
        <f t="shared" si="0"/>
        <v>(SS) Trap Type: Incorrect  - This text is for the 'I' icon.</v>
      </c>
      <c r="N51" t="s">
        <v>261</v>
      </c>
      <c r="O51" t="s">
        <v>262</v>
      </c>
      <c r="P51" t="s">
        <v>263</v>
      </c>
    </row>
    <row r="52" spans="1:16" x14ac:dyDescent="0.25">
      <c r="A52" t="e">
        <f t="shared" ca="1" si="2"/>
        <v>#VALUE!</v>
      </c>
      <c r="B52" t="s">
        <v>16</v>
      </c>
      <c r="C52" s="2">
        <v>5</v>
      </c>
      <c r="D52" s="2" t="s">
        <v>212</v>
      </c>
      <c r="E52" s="2" t="s">
        <v>213</v>
      </c>
      <c r="F52" s="2" t="s">
        <v>27</v>
      </c>
      <c r="G52" s="2">
        <v>3</v>
      </c>
      <c r="H52" s="5" t="s">
        <v>259</v>
      </c>
      <c r="I52" t="s">
        <v>264</v>
      </c>
      <c r="J52" s="5" t="s">
        <v>265</v>
      </c>
      <c r="K52" s="5" t="s">
        <v>266</v>
      </c>
      <c r="L52" t="str">
        <f t="shared" si="0"/>
        <v>(SS) Base Plate: Upside Down  - This text is for the 'I' icon.</v>
      </c>
      <c r="N52" t="s">
        <v>267</v>
      </c>
      <c r="O52" t="s">
        <v>268</v>
      </c>
      <c r="P52" t="s">
        <v>269</v>
      </c>
    </row>
    <row r="53" spans="1:16" x14ac:dyDescent="0.25">
      <c r="A53" t="e">
        <f t="shared" ca="1" si="2"/>
        <v>#VALUE!</v>
      </c>
      <c r="B53" t="s">
        <v>16</v>
      </c>
      <c r="C53" s="2">
        <v>5</v>
      </c>
      <c r="D53" s="2" t="s">
        <v>212</v>
      </c>
      <c r="E53" s="2" t="s">
        <v>213</v>
      </c>
      <c r="F53" s="2" t="s">
        <v>27</v>
      </c>
      <c r="G53" s="2">
        <v>3</v>
      </c>
      <c r="H53" s="5" t="s">
        <v>259</v>
      </c>
      <c r="I53" t="s">
        <v>270</v>
      </c>
      <c r="J53" s="5" t="s">
        <v>271</v>
      </c>
      <c r="K53" s="5" t="s">
        <v>272</v>
      </c>
      <c r="L53" t="str">
        <f t="shared" si="0"/>
        <v>(SS) Hinge Pins: Base Plate Elevated  - This text is for the 'I' icon.</v>
      </c>
      <c r="N53" t="s">
        <v>273</v>
      </c>
      <c r="O53" t="s">
        <v>274</v>
      </c>
      <c r="P53" t="s">
        <v>275</v>
      </c>
    </row>
    <row r="54" spans="1:16" x14ac:dyDescent="0.25">
      <c r="A54" t="e">
        <f ca="1">MID(CELL("Filename",A63),FIND("]",CELL("Filename",A63))+1,255)</f>
        <v>#VALUE!</v>
      </c>
      <c r="B54" t="s">
        <v>16</v>
      </c>
      <c r="C54" s="2">
        <v>5</v>
      </c>
      <c r="D54" s="2" t="s">
        <v>212</v>
      </c>
      <c r="E54" s="2" t="s">
        <v>213</v>
      </c>
      <c r="F54" s="2" t="s">
        <v>27</v>
      </c>
      <c r="G54" s="2">
        <v>3</v>
      </c>
      <c r="H54" s="5" t="s">
        <v>259</v>
      </c>
      <c r="I54" t="s">
        <v>276</v>
      </c>
      <c r="J54" t="s">
        <v>140</v>
      </c>
      <c r="K54" t="s">
        <v>141</v>
      </c>
      <c r="L54" t="str">
        <f>"("&amp;D54&amp;") "&amp;I54&amp;": "&amp;J54&amp;" "&amp;" - This text is for the 'I' icon."</f>
        <v>(SS) Wrong Type: Incorrect  - This text is for the 'I' icon.</v>
      </c>
      <c r="N54" t="s">
        <v>277</v>
      </c>
      <c r="O54" t="s">
        <v>278</v>
      </c>
      <c r="P54" t="s">
        <v>279</v>
      </c>
    </row>
    <row r="55" spans="1:16" x14ac:dyDescent="0.25">
      <c r="A55" t="e">
        <f ca="1">MID(CELL("Filename",A43),FIND("]",CELL("Filename",A43))+1,255)</f>
        <v>#VALUE!</v>
      </c>
      <c r="B55" t="s">
        <v>16</v>
      </c>
      <c r="C55" s="2">
        <v>6</v>
      </c>
      <c r="D55" s="2" t="s">
        <v>212</v>
      </c>
      <c r="E55" s="2" t="s">
        <v>213</v>
      </c>
      <c r="F55" s="2" t="s">
        <v>27</v>
      </c>
      <c r="G55" s="6" t="s">
        <v>280</v>
      </c>
      <c r="H55" t="s">
        <v>90</v>
      </c>
      <c r="I55" t="s">
        <v>91</v>
      </c>
      <c r="J55" t="s">
        <v>92</v>
      </c>
      <c r="K55" t="s">
        <v>93</v>
      </c>
      <c r="L55" t="str">
        <f t="shared" si="0"/>
        <v>(SS) Date - Month: 3 Characters Required  - This text is for the 'I' icon.</v>
      </c>
      <c r="N55" t="s">
        <v>281</v>
      </c>
      <c r="O55" t="s">
        <v>282</v>
      </c>
      <c r="P55" t="s">
        <v>283</v>
      </c>
    </row>
    <row r="56" spans="1:16" x14ac:dyDescent="0.25">
      <c r="A56" t="e">
        <f ca="1">MID(CELL("Filename",A55),FIND("]",CELL("Filename",A55))+1,255)</f>
        <v>#VALUE!</v>
      </c>
      <c r="B56" t="s">
        <v>16</v>
      </c>
      <c r="C56" s="2">
        <v>6</v>
      </c>
      <c r="D56" s="2" t="s">
        <v>212</v>
      </c>
      <c r="E56" s="2" t="s">
        <v>213</v>
      </c>
      <c r="F56" s="2" t="s">
        <v>27</v>
      </c>
      <c r="G56" s="2">
        <v>4</v>
      </c>
      <c r="H56" t="s">
        <v>90</v>
      </c>
      <c r="I56" t="s">
        <v>97</v>
      </c>
      <c r="J56" t="s">
        <v>98</v>
      </c>
      <c r="K56" t="s">
        <v>99</v>
      </c>
      <c r="L56" t="str">
        <f t="shared" si="0"/>
        <v>(SS) Date - Missing: No Trap in Place  - This text is for the 'I' icon.</v>
      </c>
      <c r="N56" t="s">
        <v>284</v>
      </c>
      <c r="O56" t="s">
        <v>285</v>
      </c>
      <c r="P56" t="s">
        <v>286</v>
      </c>
    </row>
    <row r="57" spans="1:16" x14ac:dyDescent="0.25">
      <c r="A57" t="e">
        <f ca="1">MID(CELL("Filename",A56),FIND("]",CELL("Filename",A56))+1,255)</f>
        <v>#VALUE!</v>
      </c>
      <c r="B57" t="s">
        <v>16</v>
      </c>
      <c r="C57" s="2">
        <v>6</v>
      </c>
      <c r="D57" s="2" t="s">
        <v>212</v>
      </c>
      <c r="E57" s="2" t="s">
        <v>213</v>
      </c>
      <c r="F57" s="2" t="s">
        <v>27</v>
      </c>
      <c r="G57" s="2">
        <v>4</v>
      </c>
      <c r="H57" t="s">
        <v>90</v>
      </c>
      <c r="I57" t="s">
        <v>103</v>
      </c>
      <c r="J57" t="s">
        <v>104</v>
      </c>
      <c r="K57" t="s">
        <v>105</v>
      </c>
      <c r="L57" t="str">
        <f t="shared" si="0"/>
        <v>(SS) Date - Post Dated: Only Weekly Dates Required  - This text is for the 'I' icon.</v>
      </c>
      <c r="N57" t="s">
        <v>287</v>
      </c>
      <c r="O57" t="s">
        <v>288</v>
      </c>
      <c r="P57" t="s">
        <v>289</v>
      </c>
    </row>
    <row r="58" spans="1:16" x14ac:dyDescent="0.25">
      <c r="A58" t="e">
        <f ca="1">MID(CELL("Filename",A57),FIND("]",CELL("Filename",A57))+1,255)</f>
        <v>#VALUE!</v>
      </c>
      <c r="B58" t="s">
        <v>16</v>
      </c>
      <c r="C58" s="2">
        <v>6</v>
      </c>
      <c r="D58" s="2" t="s">
        <v>212</v>
      </c>
      <c r="E58" s="2" t="s">
        <v>213</v>
      </c>
      <c r="F58" s="2" t="s">
        <v>27</v>
      </c>
      <c r="G58" s="2">
        <v>4</v>
      </c>
      <c r="H58" t="s">
        <v>90</v>
      </c>
      <c r="I58" t="s">
        <v>109</v>
      </c>
      <c r="J58" t="s">
        <v>110</v>
      </c>
      <c r="K58" t="s">
        <v>111</v>
      </c>
      <c r="L58" t="str">
        <f t="shared" si="0"/>
        <v>(SS) Date - IPM Period: Incorrect Date  - This text is for the 'I' icon.</v>
      </c>
      <c r="N58" t="s">
        <v>290</v>
      </c>
      <c r="O58" t="s">
        <v>291</v>
      </c>
      <c r="P58" t="s">
        <v>292</v>
      </c>
    </row>
    <row r="59" spans="1:16" x14ac:dyDescent="0.25">
      <c r="A59" t="e">
        <f ca="1">MID(CELL("Filename",A58),FIND("]",CELL("Filename",A58))+1,255)</f>
        <v>#VALUE!</v>
      </c>
      <c r="B59" t="s">
        <v>16</v>
      </c>
      <c r="C59" s="2">
        <v>6</v>
      </c>
      <c r="D59" s="2" t="s">
        <v>212</v>
      </c>
      <c r="E59" s="2" t="s">
        <v>213</v>
      </c>
      <c r="F59" s="2" t="s">
        <v>27</v>
      </c>
      <c r="G59" s="2">
        <v>4</v>
      </c>
      <c r="H59" t="s">
        <v>90</v>
      </c>
      <c r="I59" t="s">
        <v>193</v>
      </c>
      <c r="J59" s="4" t="s">
        <v>116</v>
      </c>
      <c r="K59" t="s">
        <v>117</v>
      </c>
      <c r="L59" t="str">
        <f t="shared" si="0"/>
        <v>(SS) Missing - Inspection Details: Weekly Details Missing  - This text is for the 'I' icon.</v>
      </c>
      <c r="N59" t="s">
        <v>293</v>
      </c>
      <c r="O59" t="s">
        <v>294</v>
      </c>
      <c r="P59" t="s">
        <v>295</v>
      </c>
    </row>
    <row r="60" spans="1:16" x14ac:dyDescent="0.25">
      <c r="A60" t="e">
        <f ca="1">MID(CELL("Filename",A59),FIND("]",CELL("Filename",A59))+1,255)</f>
        <v>#VALUE!</v>
      </c>
      <c r="B60" t="s">
        <v>16</v>
      </c>
      <c r="C60" s="2">
        <v>6</v>
      </c>
      <c r="D60" s="2" t="s">
        <v>212</v>
      </c>
      <c r="E60" s="2" t="s">
        <v>213</v>
      </c>
      <c r="F60" s="2" t="s">
        <v>27</v>
      </c>
      <c r="G60" s="2">
        <v>4</v>
      </c>
      <c r="H60" t="s">
        <v>90</v>
      </c>
      <c r="I60" t="s">
        <v>197</v>
      </c>
      <c r="J60" s="4" t="s">
        <v>122</v>
      </c>
      <c r="K60" t="s">
        <v>123</v>
      </c>
      <c r="L60" t="str">
        <f t="shared" si="0"/>
        <v>(SS) Missing - Count: No weekly count  - This text is for the 'I' icon.</v>
      </c>
      <c r="N60" t="s">
        <v>296</v>
      </c>
      <c r="O60" t="s">
        <v>297</v>
      </c>
      <c r="P60" t="s">
        <v>298</v>
      </c>
    </row>
    <row r="61" spans="1:16" x14ac:dyDescent="0.25">
      <c r="A61" t="e">
        <f t="shared" ref="A61:A63" ca="1" si="3">MID(CELL("Filename",A60),FIND("]",CELL("Filename",A60))+1,255)</f>
        <v>#VALUE!</v>
      </c>
      <c r="B61" t="s">
        <v>16</v>
      </c>
      <c r="C61" s="2">
        <v>6</v>
      </c>
      <c r="D61" s="2" t="s">
        <v>212</v>
      </c>
      <c r="E61" s="2" t="s">
        <v>213</v>
      </c>
      <c r="F61" s="2" t="s">
        <v>27</v>
      </c>
      <c r="G61" s="2">
        <v>4</v>
      </c>
      <c r="H61" t="s">
        <v>90</v>
      </c>
      <c r="I61" t="s">
        <v>201</v>
      </c>
      <c r="J61" s="5" t="s">
        <v>128</v>
      </c>
      <c r="K61" t="s">
        <v>129</v>
      </c>
      <c r="L61" t="str">
        <f t="shared" si="0"/>
        <v>(SS) Missing - Initials: Initials missing  - This text is for the 'I' icon.</v>
      </c>
      <c r="N61" t="s">
        <v>299</v>
      </c>
      <c r="O61" t="s">
        <v>300</v>
      </c>
      <c r="P61" t="s">
        <v>301</v>
      </c>
    </row>
    <row r="62" spans="1:16" x14ac:dyDescent="0.25">
      <c r="A62" t="e">
        <f t="shared" ca="1" si="3"/>
        <v>#VALUE!</v>
      </c>
      <c r="B62" t="s">
        <v>16</v>
      </c>
      <c r="C62" s="2">
        <v>6</v>
      </c>
      <c r="D62" s="2" t="s">
        <v>212</v>
      </c>
      <c r="E62" s="2" t="s">
        <v>213</v>
      </c>
      <c r="F62" s="2" t="s">
        <v>27</v>
      </c>
      <c r="G62" s="2">
        <v>4</v>
      </c>
      <c r="H62" t="s">
        <v>90</v>
      </c>
      <c r="I62" t="s">
        <v>29</v>
      </c>
      <c r="J62" t="s">
        <v>28</v>
      </c>
      <c r="K62" t="s">
        <v>31</v>
      </c>
      <c r="L62" t="str">
        <f t="shared" si="0"/>
        <v>(SS) Missing - Trap: Missing  - This text is for the 'I' icon.</v>
      </c>
      <c r="N62" t="s">
        <v>302</v>
      </c>
      <c r="O62" t="s">
        <v>303</v>
      </c>
      <c r="P62" t="s">
        <v>304</v>
      </c>
    </row>
    <row r="63" spans="1:16" x14ac:dyDescent="0.25">
      <c r="A63" t="e">
        <f t="shared" ca="1" si="3"/>
        <v>#VALUE!</v>
      </c>
      <c r="B63" t="s">
        <v>16</v>
      </c>
      <c r="C63" s="2">
        <v>6</v>
      </c>
      <c r="D63" s="2" t="s">
        <v>212</v>
      </c>
      <c r="E63" s="2" t="s">
        <v>213</v>
      </c>
      <c r="F63" s="2" t="s">
        <v>27</v>
      </c>
      <c r="G63" s="2">
        <v>4</v>
      </c>
      <c r="H63" t="s">
        <v>90</v>
      </c>
      <c r="I63" t="s">
        <v>133</v>
      </c>
      <c r="J63" t="s">
        <v>134</v>
      </c>
      <c r="K63" t="s">
        <v>135</v>
      </c>
      <c r="L63" t="str">
        <f t="shared" si="0"/>
        <v>(SS) Graphic Missing: No Weekly Inspections  - This text is for the 'I' icon.</v>
      </c>
      <c r="N63" t="s">
        <v>305</v>
      </c>
      <c r="O63" t="s">
        <v>306</v>
      </c>
      <c r="P63" t="s">
        <v>307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ashraf slack</dc:creator>
  <cp:lastModifiedBy>ashraf slack</cp:lastModifiedBy>
  <dcterms:created xsi:type="dcterms:W3CDTF">2026-04-14T19:43:56Z</dcterms:created>
  <dcterms:modified xsi:type="dcterms:W3CDTF">2026-04-14T19:45:05Z</dcterms:modified>
</cp:coreProperties>
</file>