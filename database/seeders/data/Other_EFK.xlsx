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raf Nasib\Downloads\"/>
    </mc:Choice>
  </mc:AlternateContent>
  <xr:revisionPtr revIDLastSave="0" documentId="8_{05715B65-FFBE-4D87-870B-B946958D2749}" xr6:coauthVersionLast="47" xr6:coauthVersionMax="47" xr10:uidLastSave="{00000000-0000-0000-0000-000000000000}"/>
  <bookViews>
    <workbookView xWindow="-120" yWindow="-120" windowWidth="29040" windowHeight="17520" xr2:uid="{B6EE86C4-50EE-4EA5-8F2B-92F85F25D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4" i="1" l="1"/>
  <c r="A54" i="1"/>
  <c r="K53" i="1"/>
  <c r="A53" i="1"/>
  <c r="K52" i="1"/>
  <c r="A52" i="1"/>
  <c r="K51" i="1"/>
  <c r="A51" i="1"/>
  <c r="K50" i="1"/>
  <c r="A50" i="1"/>
  <c r="K49" i="1"/>
  <c r="A49" i="1"/>
  <c r="K48" i="1"/>
  <c r="A48" i="1"/>
  <c r="K47" i="1"/>
  <c r="A47" i="1"/>
  <c r="K46" i="1"/>
  <c r="A46" i="1"/>
  <c r="K45" i="1"/>
  <c r="A45" i="1"/>
  <c r="K44" i="1"/>
  <c r="A44" i="1"/>
  <c r="K43" i="1"/>
  <c r="A43" i="1"/>
  <c r="K42" i="1"/>
  <c r="A42" i="1"/>
  <c r="K41" i="1"/>
  <c r="A41" i="1"/>
  <c r="K40" i="1"/>
  <c r="A40" i="1"/>
  <c r="K39" i="1"/>
  <c r="A39" i="1"/>
  <c r="K38" i="1"/>
  <c r="A38" i="1"/>
  <c r="K37" i="1"/>
  <c r="A37" i="1"/>
  <c r="K36" i="1"/>
  <c r="A36" i="1"/>
  <c r="K35" i="1"/>
  <c r="A35" i="1"/>
  <c r="K34" i="1"/>
  <c r="A34" i="1"/>
  <c r="K33" i="1"/>
  <c r="A33" i="1"/>
  <c r="K32" i="1"/>
  <c r="A32" i="1"/>
  <c r="K31" i="1"/>
  <c r="A31" i="1"/>
  <c r="K30" i="1"/>
  <c r="A30" i="1"/>
  <c r="K29" i="1"/>
  <c r="A29" i="1"/>
  <c r="K28" i="1"/>
  <c r="A28" i="1"/>
  <c r="K27" i="1"/>
  <c r="A27" i="1"/>
  <c r="K26" i="1"/>
  <c r="A26" i="1"/>
  <c r="K25" i="1"/>
  <c r="A25" i="1"/>
  <c r="K24" i="1"/>
  <c r="A24" i="1"/>
  <c r="K23" i="1"/>
  <c r="A23" i="1"/>
  <c r="K22" i="1"/>
  <c r="A22" i="1"/>
  <c r="K21" i="1"/>
  <c r="A21" i="1"/>
  <c r="K20" i="1"/>
  <c r="A20" i="1"/>
  <c r="K19" i="1"/>
  <c r="A19" i="1"/>
  <c r="K18" i="1"/>
  <c r="A18" i="1"/>
  <c r="K17" i="1"/>
  <c r="A17" i="1"/>
  <c r="K16" i="1"/>
  <c r="A16" i="1"/>
  <c r="K15" i="1"/>
  <c r="A15" i="1"/>
  <c r="K14" i="1"/>
  <c r="A14" i="1"/>
  <c r="K13" i="1"/>
  <c r="A13" i="1"/>
  <c r="K12" i="1"/>
  <c r="A12" i="1"/>
  <c r="K11" i="1"/>
  <c r="A11" i="1"/>
  <c r="K10" i="1"/>
  <c r="A10" i="1"/>
  <c r="K9" i="1"/>
  <c r="A9" i="1"/>
  <c r="K8" i="1"/>
  <c r="A8" i="1"/>
  <c r="K7" i="1"/>
  <c r="A7" i="1"/>
  <c r="K6" i="1"/>
  <c r="A6" i="1"/>
  <c r="K5" i="1"/>
  <c r="A5" i="1"/>
  <c r="K4" i="1"/>
  <c r="A4" i="1"/>
  <c r="K3" i="1"/>
  <c r="A3" i="1"/>
  <c r="K2" i="1"/>
  <c r="A2" i="1"/>
</calcChain>
</file>

<file path=xl/sharedStrings.xml><?xml version="1.0" encoding="utf-8"?>
<sst xmlns="http://schemas.openxmlformats.org/spreadsheetml/2006/main" count="598" uniqueCount="270">
  <si>
    <t>Other_EFK_Ref</t>
  </si>
  <si>
    <t>Other_EFK_Main_Heading</t>
  </si>
  <si>
    <t>Other_EFK_Ordinal</t>
  </si>
  <si>
    <t>Other_EFK_Type_Mnemonic</t>
  </si>
  <si>
    <t>Other_EFK_Type</t>
  </si>
  <si>
    <t>Other_EFK_Compliance</t>
  </si>
  <si>
    <t>Other_EFK__Sub_Heading</t>
  </si>
  <si>
    <t>Other_EFK_Category</t>
  </si>
  <si>
    <t>Other_EFK_Sub_Category</t>
  </si>
  <si>
    <t>Other_EFK_Non_Compliance_Text</t>
  </si>
  <si>
    <t>Other_EFK_I_Info</t>
  </si>
  <si>
    <t>Other_EFK_USPH_Ref</t>
  </si>
  <si>
    <t>Other_EFK_ShipSan_Ref</t>
  </si>
  <si>
    <t>Other_EFK_Anvia_Ref</t>
  </si>
  <si>
    <t>Other_EFK_MPI_Ref</t>
  </si>
  <si>
    <t>Electric Fly Killers</t>
  </si>
  <si>
    <t>STD</t>
  </si>
  <si>
    <t>Standard Fly Killer</t>
  </si>
  <si>
    <t>Compliant</t>
  </si>
  <si>
    <t>Good</t>
  </si>
  <si>
    <t>Good Fly Killer</t>
  </si>
  <si>
    <t>Required Standard</t>
  </si>
  <si>
    <t>The fly killer met the required standard for maintenance label, UV tube change, inspections and condition.</t>
  </si>
  <si>
    <t>ShipSan Ref No Here 1</t>
  </si>
  <si>
    <t>Anvisa Ref No Here 1</t>
  </si>
  <si>
    <t>MPI Ref No Here 1</t>
  </si>
  <si>
    <t>Non-Compliant</t>
  </si>
  <si>
    <t>Quantity</t>
  </si>
  <si>
    <t>More Recommended</t>
  </si>
  <si>
    <t>There are insufficient fly killers in the area to prevent flying insect issues.  40/1/8.1.2.1</t>
  </si>
  <si>
    <t>ShipSan Ref No Here 2</t>
  </si>
  <si>
    <t>Anvisa Ref No Here 2</t>
  </si>
  <si>
    <t>MPI Ref No Here 2</t>
  </si>
  <si>
    <t>Location</t>
  </si>
  <si>
    <t>Incorrect Location</t>
  </si>
  <si>
    <t>Not as IPM Log</t>
  </si>
  <si>
    <t>The fly killer location differs from the IPM Log location. Contact Nutrstat to request change.</t>
  </si>
  <si>
    <t>ShipSan Ref No Here 3</t>
  </si>
  <si>
    <t>Anvisa Ref No Here 3</t>
  </si>
  <si>
    <t>MPI Ref No Here 3</t>
  </si>
  <si>
    <t>Compliance</t>
  </si>
  <si>
    <t>Food</t>
  </si>
  <si>
    <t>Above Food</t>
  </si>
  <si>
    <t>Food has been left under the fly killer contrary to public health guidelines.</t>
  </si>
  <si>
    <t>ShipSan Ref No Here 4</t>
  </si>
  <si>
    <t>Anvisa Ref No Here 4</t>
  </si>
  <si>
    <t>MPI Ref No Here 4</t>
  </si>
  <si>
    <t>Equipment</t>
  </si>
  <si>
    <t>Above Clean Equipment</t>
  </si>
  <si>
    <t>Clean equipment has been left under the fly killer contrary to public health guidelines.</t>
  </si>
  <si>
    <t>ShipSan Ref No Here 5</t>
  </si>
  <si>
    <t>Anvisa Ref No Here 5</t>
  </si>
  <si>
    <t>MPI Ref No Here 5</t>
  </si>
  <si>
    <t>Surface</t>
  </si>
  <si>
    <t>Above Clean Surface</t>
  </si>
  <si>
    <t>The fly killer has been installed above a clean surface and needs to be relocated.</t>
  </si>
  <si>
    <t>ShipSan Ref No Here 6</t>
  </si>
  <si>
    <t>Anvisa Ref No Here 6</t>
  </si>
  <si>
    <t>MPI Ref No Here 6</t>
  </si>
  <si>
    <t>Condition</t>
  </si>
  <si>
    <t>Dirty</t>
  </si>
  <si>
    <t>Poor Maintenance</t>
  </si>
  <si>
    <t>The fly killer needs to be cleaned to bring it up to standard. 40/1/8.1.2.1</t>
  </si>
  <si>
    <t>ShipSan Ref No Here 7</t>
  </si>
  <si>
    <t>Anvisa Ref No Here 7</t>
  </si>
  <si>
    <t>MPI Ref No Here 7</t>
  </si>
  <si>
    <t>Damaged</t>
  </si>
  <si>
    <t>Repair or Replace</t>
  </si>
  <si>
    <t>The fly killer has been damaged. Get Technical Department to repair it, or replace it. 40/1/8.1.2.1</t>
  </si>
  <si>
    <t>ShipSan Ref No Here 8</t>
  </si>
  <si>
    <t>Anvisa Ref No Here 8</t>
  </si>
  <si>
    <t>MPI Ref No Here 8</t>
  </si>
  <si>
    <t>Part Missing</t>
  </si>
  <si>
    <t>Order Part or Replace</t>
  </si>
  <si>
    <t>The fly killer has a part missing, please order it, or replace the fly killer. 40/1/8.1.2.1</t>
  </si>
  <si>
    <t>ShipSan Ref No Here 9</t>
  </si>
  <si>
    <t>Anvisa Ref No Here 9</t>
  </si>
  <si>
    <t>MPI Ref No Here 9</t>
  </si>
  <si>
    <t>UVT</t>
  </si>
  <si>
    <t>Not Changed</t>
  </si>
  <si>
    <t>IPM Plan Not Followed</t>
  </si>
  <si>
    <t>The UV tubes are not being changed in January &amp; July as per the IPM Plan.</t>
  </si>
  <si>
    <t>ShipSan Ref No Here 10</t>
  </si>
  <si>
    <t>Anvisa Ref No Here 10</t>
  </si>
  <si>
    <t>MPI Ref No Here 10</t>
  </si>
  <si>
    <t>Type</t>
  </si>
  <si>
    <t>Not Shatterproof</t>
  </si>
  <si>
    <t>The Ultra Violet tubes should be shatterproof, especially in food production areas</t>
  </si>
  <si>
    <t>ShipSan Ref No Here 11</t>
  </si>
  <si>
    <t>Anvisa Ref No Here 11</t>
  </si>
  <si>
    <t>MPI Ref No Here 11</t>
  </si>
  <si>
    <t>RGT</t>
  </si>
  <si>
    <t>The glue boards/trays are not being changed as per the IPM Plan (i.e., January, April, July and October)</t>
  </si>
  <si>
    <t>ShipSan Ref No Here 12</t>
  </si>
  <si>
    <t>Anvisa Ref No Here 12</t>
  </si>
  <si>
    <t>MPI Ref No Here 12</t>
  </si>
  <si>
    <t>Incorrect Type</t>
  </si>
  <si>
    <t>The incorrect glue boards/trays are not being used for this fly killer; order the correct type.</t>
  </si>
  <si>
    <t>ShipSan Ref No Here 13</t>
  </si>
  <si>
    <t>Anvisa Ref No Here 13</t>
  </si>
  <si>
    <t>MPI Ref No Here 13</t>
  </si>
  <si>
    <t>Expiry Date</t>
  </si>
  <si>
    <t>Missing</t>
  </si>
  <si>
    <t>The next expiry date is not being written on the back of the glue boards (i.e. January, April, July and October)</t>
  </si>
  <si>
    <t>ShipSan Ref No Here 14</t>
  </si>
  <si>
    <t>Anvisa Ref No Here 14</t>
  </si>
  <si>
    <t>MPI Ref No Here 14</t>
  </si>
  <si>
    <t>No Glue Board</t>
  </si>
  <si>
    <t>There is no glue board/tray in the fly killer. The PCRO/Pco should correct this.</t>
  </si>
  <si>
    <t>ShipSan Ref No Here 15</t>
  </si>
  <si>
    <t>Anvisa Ref No Here 15</t>
  </si>
  <si>
    <t>MPI Ref No Here 15</t>
  </si>
  <si>
    <t>Label</t>
  </si>
  <si>
    <t>No Maintencne Label</t>
  </si>
  <si>
    <t>The IPM Plan requires a maintenance label, showing glue board and UV tube change dates.</t>
  </si>
  <si>
    <t>ShipSan Ref No Here 16</t>
  </si>
  <si>
    <t>Anvisa Ref No Here 16</t>
  </si>
  <si>
    <t>MPI Ref No Here 16</t>
  </si>
  <si>
    <t>Not Completed</t>
  </si>
  <si>
    <t>No Maintenance Dates</t>
  </si>
  <si>
    <t>The fly killer maintenance labels are not being completed as per the IPM Plan.</t>
  </si>
  <si>
    <t>ShipSan Ref No Here 17</t>
  </si>
  <si>
    <t>Anvisa Ref No Here 17</t>
  </si>
  <si>
    <t>MPI Ref No Here 17</t>
  </si>
  <si>
    <t>Dates</t>
  </si>
  <si>
    <t>Future Dates Applied</t>
  </si>
  <si>
    <t>The maintenance labels are not being correctly completed they have futuristic dates.</t>
  </si>
  <si>
    <t>ShipSan Ref No Here 18</t>
  </si>
  <si>
    <t>Anvisa Ref No Here 18</t>
  </si>
  <si>
    <t>MPI Ref No Here 18</t>
  </si>
  <si>
    <t>Electrical</t>
  </si>
  <si>
    <t>End Cap</t>
  </si>
  <si>
    <t>Not Sealed</t>
  </si>
  <si>
    <t>The end caps are not being correctly screwed over the end of the UV tube, allowing water ingress.</t>
  </si>
  <si>
    <t>ShipSan Ref No Here 19</t>
  </si>
  <si>
    <t>Anvisa Ref No Here 19</t>
  </si>
  <si>
    <t>MPI Ref No Here 19</t>
  </si>
  <si>
    <t>Power</t>
  </si>
  <si>
    <t>Switched Supply</t>
  </si>
  <si>
    <t>The fly killer is on a switched supply, it should be on permanent power. 40/1/8.1.2.1</t>
  </si>
  <si>
    <t>ShipSan Ref No Here 20</t>
  </si>
  <si>
    <t>Anvisa Ref No Here 20</t>
  </si>
  <si>
    <t>MPI Ref No Here 20</t>
  </si>
  <si>
    <t>Wiring</t>
  </si>
  <si>
    <t>Excessive length</t>
  </si>
  <si>
    <t>The wires powering the fly killer is excessive and not in conduit, not cleanable 40/1/8.1.2.1</t>
  </si>
  <si>
    <t>ShipSan Ref No Here 21</t>
  </si>
  <si>
    <t>Anvisa Ref No Here 21</t>
  </si>
  <si>
    <t>MPI Ref No Here 21</t>
  </si>
  <si>
    <t>Not Illuminated</t>
  </si>
  <si>
    <t>Fly Killer Broken</t>
  </si>
  <si>
    <t>The fly killer UV tubes are not illuminated, please get Electrical Department to fix this.</t>
  </si>
  <si>
    <t>ShipSan Ref No Here 22</t>
  </si>
  <si>
    <t>Anvisa Ref No Here 22</t>
  </si>
  <si>
    <t>MPI Ref No Here 22</t>
  </si>
  <si>
    <t>UV Tube</t>
  </si>
  <si>
    <t>Not Working</t>
  </si>
  <si>
    <t>The UV tube is not working and electrical department should fix this.</t>
  </si>
  <si>
    <t>ShipSan Ref No Here 23</t>
  </si>
  <si>
    <t>Anvisa Ref No Here 23</t>
  </si>
  <si>
    <t>MPI Ref No Here 23</t>
  </si>
  <si>
    <t>Unplugged</t>
  </si>
  <si>
    <t>Unswitched Fused Spur Box</t>
  </si>
  <si>
    <t>The fly killer is unplugged, Consider Electrical Department to replace plug with unswotched fused spur box.</t>
  </si>
  <si>
    <t>ShipSan Ref No Here 24</t>
  </si>
  <si>
    <t>Anvisa Ref No Here 24</t>
  </si>
  <si>
    <t>MPI Ref No Here 24</t>
  </si>
  <si>
    <t>Zapper</t>
  </si>
  <si>
    <t>Zapper Type</t>
  </si>
  <si>
    <t>Replace</t>
  </si>
  <si>
    <t>This is a zapper-type fly killers and should be replaced with newer LED type. 40/1/8.1.2.1</t>
  </si>
  <si>
    <t>ShipSan Ref No Here 25</t>
  </si>
  <si>
    <t>Anvisa Ref No Here 25</t>
  </si>
  <si>
    <t>MPI Ref No Here 25</t>
  </si>
  <si>
    <t>Food Area</t>
  </si>
  <si>
    <t>Remove</t>
  </si>
  <si>
    <t>There is a zapper-type fly killers installed in a food area, it should be removed. 40/1/8.1.2.1</t>
  </si>
  <si>
    <t>ShipSan Ref No Here 26</t>
  </si>
  <si>
    <t>Anvisa Ref No Here 26</t>
  </si>
  <si>
    <t>MPI Ref No Here 26</t>
  </si>
  <si>
    <t>LED</t>
  </si>
  <si>
    <t>LED Fly Killer</t>
  </si>
  <si>
    <t>ShipSan Ref No Here 27</t>
  </si>
  <si>
    <t>Anvisa Ref No Here 27</t>
  </si>
  <si>
    <t>MPI Ref No Here 27</t>
  </si>
  <si>
    <t>ShipSan Ref No Here 28</t>
  </si>
  <si>
    <t>Anvisa Ref No Here 28</t>
  </si>
  <si>
    <t>MPI Ref No Here 28</t>
  </si>
  <si>
    <t>ShipSan Ref No Here 29</t>
  </si>
  <si>
    <t>Anvisa Ref No Here 29</t>
  </si>
  <si>
    <t>MPI Ref No Here 29</t>
  </si>
  <si>
    <t>ShipSan Ref No Here 30</t>
  </si>
  <si>
    <t>Anvisa Ref No Here 30</t>
  </si>
  <si>
    <t>MPI Ref No Here 30</t>
  </si>
  <si>
    <t>ShipSan Ref No Here 31</t>
  </si>
  <si>
    <t>Anvisa Ref No Here 31</t>
  </si>
  <si>
    <t>MPI Ref No Here 31</t>
  </si>
  <si>
    <t>ShipSan Ref No Here 32</t>
  </si>
  <si>
    <t>Anvisa Ref No Here 32</t>
  </si>
  <si>
    <t>MPI Ref No Here 32</t>
  </si>
  <si>
    <t>ShipSan Ref No Here 33</t>
  </si>
  <si>
    <t>Anvisa Ref No Here 33</t>
  </si>
  <si>
    <t>MPI Ref No Here 33</t>
  </si>
  <si>
    <t>ShipSan Ref No Here 34</t>
  </si>
  <si>
    <t>Anvisa Ref No Here 34</t>
  </si>
  <si>
    <t>MPI Ref No Here 34</t>
  </si>
  <si>
    <t>ShipSan Ref No Here 35</t>
  </si>
  <si>
    <t>Anvisa Ref No Here 35</t>
  </si>
  <si>
    <t>MPI Ref No Here 35</t>
  </si>
  <si>
    <t>The UV tubes are not being changed every two years as per the IPM Plan.</t>
  </si>
  <si>
    <t>ShipSan Ref No Here 36</t>
  </si>
  <si>
    <t>Anvisa Ref No Here 36</t>
  </si>
  <si>
    <t>MPI Ref No Here 36</t>
  </si>
  <si>
    <t>ShipSan Ref No Here 37</t>
  </si>
  <si>
    <t>Anvisa Ref No Here 37</t>
  </si>
  <si>
    <t>MPI Ref No Here 37</t>
  </si>
  <si>
    <t>Orientation</t>
  </si>
  <si>
    <t>Not Correct</t>
  </si>
  <si>
    <t>LED UV tubes are directtional and the LEDs should face directly out or up depending on type</t>
  </si>
  <si>
    <t>ShipSan Ref No Here 38</t>
  </si>
  <si>
    <t>Anvisa Ref No Here 38</t>
  </si>
  <si>
    <t>MPI Ref No Here 38</t>
  </si>
  <si>
    <t>ShipSan Ref No Here 39</t>
  </si>
  <si>
    <t>Anvisa Ref No Here 39</t>
  </si>
  <si>
    <t>MPI Ref No Here 39</t>
  </si>
  <si>
    <t>ShipSan Ref No Here 40</t>
  </si>
  <si>
    <t>Anvisa Ref No Here 40</t>
  </si>
  <si>
    <t>MPI Ref No Here 40</t>
  </si>
  <si>
    <t>ShipSan Ref No Here 41</t>
  </si>
  <si>
    <t>Anvisa Ref No Here 41</t>
  </si>
  <si>
    <t>MPI Ref No Here 41</t>
  </si>
  <si>
    <t>ShipSan Ref No Here 42</t>
  </si>
  <si>
    <t>Anvisa Ref No Here 42</t>
  </si>
  <si>
    <t>MPI Ref No Here 42</t>
  </si>
  <si>
    <t>ShipSan Ref No Here 43</t>
  </si>
  <si>
    <t>Anvisa Ref No Here 43</t>
  </si>
  <si>
    <t>MPI Ref No Here 43</t>
  </si>
  <si>
    <t>ShipSan Ref No Here 44</t>
  </si>
  <si>
    <t>Anvisa Ref No Here 44</t>
  </si>
  <si>
    <t>MPI Ref No Here 44</t>
  </si>
  <si>
    <t>ShipSan Ref No Here 45</t>
  </si>
  <si>
    <t>Anvisa Ref No Here 45</t>
  </si>
  <si>
    <t>MPI Ref No Here 45</t>
  </si>
  <si>
    <t>ShipSan Ref No Here 46</t>
  </si>
  <si>
    <t>Anvisa Ref No Here 46</t>
  </si>
  <si>
    <t>MPI Ref No Here 46</t>
  </si>
  <si>
    <t>ShipSan Ref No Here 47</t>
  </si>
  <si>
    <t>Anvisa Ref No Here 47</t>
  </si>
  <si>
    <t>MPI Ref No Here 47</t>
  </si>
  <si>
    <t>ShipSan Ref No Here 48</t>
  </si>
  <si>
    <t>Anvisa Ref No Here 48</t>
  </si>
  <si>
    <t>MPI Ref No Here 48</t>
  </si>
  <si>
    <t>ShipSan Ref No Here 49</t>
  </si>
  <si>
    <t>Anvisa Ref No Here 49</t>
  </si>
  <si>
    <t>MPI Ref No Here 49</t>
  </si>
  <si>
    <t>ShipSan Ref No Here 50</t>
  </si>
  <si>
    <t>Anvisa Ref No Here 50</t>
  </si>
  <si>
    <t>MPI Ref No Here 50</t>
  </si>
  <si>
    <t>ShipSan Ref No Here 51</t>
  </si>
  <si>
    <t>Anvisa Ref No Here 51</t>
  </si>
  <si>
    <t>MPI Ref No Here 51</t>
  </si>
  <si>
    <t>Zapper Fly Killer</t>
  </si>
  <si>
    <t>This is a zapper-type fly killer and should be replaced with newer LED type with a glue board. 40/1/8.1.2.1</t>
  </si>
  <si>
    <t>ShipSan Ref No Here 52</t>
  </si>
  <si>
    <t>Anvisa Ref No Here 52</t>
  </si>
  <si>
    <t>MPI Ref No Here 52</t>
  </si>
  <si>
    <t>There is a zapper-type fly killers installed in a food area, it should be removed or replaced with the newer LED fly killer with a glue board. 40/1/8.1.2.1</t>
  </si>
  <si>
    <t>ShipSan Ref No Here 53</t>
  </si>
  <si>
    <t>Anvisa Ref No Here 53</t>
  </si>
  <si>
    <t>MPI Ref No Here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</si>
</sst>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4EAA-9AFB-46EF-8B1D-1D3C82A825B3}">
  <dimension ref="A1:O54"/>
  <sheetViews>
    <sheetView tabSelected="1" workbookViewId="0">
      <selection sqref="A1:O5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e">
        <f ca="1">MID(CELL("Filename",A1),FIND("]",CELL("Filename",A1))+1,255)</f>
        <v>#VALUE!</v>
      </c>
      <c r="B2" t="s">
        <v>15</v>
      </c>
      <c r="C2" s="2">
        <v>1</v>
      </c>
      <c r="D2" s="2" t="s">
        <v>16</v>
      </c>
      <c r="E2" s="2" t="s">
        <v>17</v>
      </c>
      <c r="F2" s="2" t="s">
        <v>18</v>
      </c>
      <c r="G2" s="3" t="s">
        <v>19</v>
      </c>
      <c r="H2" t="s">
        <v>20</v>
      </c>
      <c r="I2" s="3" t="s">
        <v>21</v>
      </c>
      <c r="J2" t="s">
        <v>22</v>
      </c>
      <c r="K2" t="str">
        <f>"("&amp;D2&amp;") "&amp;H2&amp;": "&amp;I2&amp;" "&amp;" - This text is for the 'I' icon."</f>
        <v>(STD) Good Fly Killer: Required Standard  - This text is for the 'I' icon.</v>
      </c>
      <c r="M2" t="s">
        <v>23</v>
      </c>
      <c r="N2" t="s">
        <v>24</v>
      </c>
      <c r="O2" t="s">
        <v>25</v>
      </c>
    </row>
    <row r="3" spans="1:15" x14ac:dyDescent="0.25">
      <c r="A3" t="e">
        <f ca="1">MID(CELL("Filename",A8),FIND("]",CELL("Filename",A8))+1,255)</f>
        <v>#VALUE!</v>
      </c>
      <c r="B3" t="s">
        <v>15</v>
      </c>
      <c r="C3" s="2">
        <v>2</v>
      </c>
      <c r="D3" s="2" t="s">
        <v>16</v>
      </c>
      <c r="E3" s="2" t="s">
        <v>17</v>
      </c>
      <c r="F3" s="2" t="s">
        <v>26</v>
      </c>
      <c r="G3" s="4" t="s">
        <v>27</v>
      </c>
      <c r="H3" t="s">
        <v>27</v>
      </c>
      <c r="I3" s="3" t="s">
        <v>28</v>
      </c>
      <c r="J3" t="s">
        <v>29</v>
      </c>
      <c r="K3" t="str">
        <f>"("&amp;D3&amp;") "&amp;H3&amp;": "&amp;I3&amp;" "&amp;" - This text is for the 'I' icon."</f>
        <v>(STD) Quantity: More Recommended  - This text is for the 'I' icon.</v>
      </c>
      <c r="M3" t="s">
        <v>30</v>
      </c>
      <c r="N3" t="s">
        <v>31</v>
      </c>
      <c r="O3" t="s">
        <v>32</v>
      </c>
    </row>
    <row r="4" spans="1:15" x14ac:dyDescent="0.25">
      <c r="A4" t="e">
        <f ca="1">MID(CELL("Filename",A9),FIND("]",CELL("Filename",A9))+1,255)</f>
        <v>#VALUE!</v>
      </c>
      <c r="B4" t="s">
        <v>15</v>
      </c>
      <c r="C4" s="2">
        <v>3</v>
      </c>
      <c r="D4" s="2" t="s">
        <v>16</v>
      </c>
      <c r="E4" s="2" t="s">
        <v>17</v>
      </c>
      <c r="F4" s="2" t="s">
        <v>26</v>
      </c>
      <c r="G4" s="4" t="s">
        <v>33</v>
      </c>
      <c r="H4" s="4" t="s">
        <v>34</v>
      </c>
      <c r="I4" s="4" t="s">
        <v>35</v>
      </c>
      <c r="J4" s="4" t="s">
        <v>36</v>
      </c>
      <c r="K4" t="str">
        <f t="shared" ref="K4:K27" si="0">"("&amp;D4&amp;") "&amp;H4&amp;": "&amp;I4&amp;" "&amp;" - This text is for the 'I' icon."</f>
        <v>(STD) Incorrect Location: Not as IPM Log  - This text is for the 'I' icon.</v>
      </c>
      <c r="M4" t="s">
        <v>37</v>
      </c>
      <c r="N4" t="s">
        <v>38</v>
      </c>
      <c r="O4" t="s">
        <v>39</v>
      </c>
    </row>
    <row r="5" spans="1:15" x14ac:dyDescent="0.25">
      <c r="A5" t="e">
        <f ca="1">MID(CELL("Filename",A10),FIND("]",CELL("Filename",A10))+1,255)</f>
        <v>#VALUE!</v>
      </c>
      <c r="B5" t="s">
        <v>15</v>
      </c>
      <c r="C5" s="2">
        <v>4</v>
      </c>
      <c r="D5" s="2" t="s">
        <v>16</v>
      </c>
      <c r="E5" s="2" t="s">
        <v>17</v>
      </c>
      <c r="F5" s="2" t="s">
        <v>26</v>
      </c>
      <c r="G5" s="4" t="s">
        <v>40</v>
      </c>
      <c r="H5" t="s">
        <v>41</v>
      </c>
      <c r="I5" s="4" t="s">
        <v>42</v>
      </c>
      <c r="J5" t="s">
        <v>43</v>
      </c>
      <c r="K5" t="str">
        <f t="shared" si="0"/>
        <v>(STD) Food: Above Food  - This text is for the 'I' icon.</v>
      </c>
      <c r="M5" t="s">
        <v>44</v>
      </c>
      <c r="N5" t="s">
        <v>45</v>
      </c>
      <c r="O5" t="s">
        <v>46</v>
      </c>
    </row>
    <row r="6" spans="1:15" x14ac:dyDescent="0.25">
      <c r="A6" t="e">
        <f ca="1">MID(CELL("Filename",A1),FIND("]",CELL("Filename",A1))+1,255)</f>
        <v>#VALUE!</v>
      </c>
      <c r="B6" t="s">
        <v>15</v>
      </c>
      <c r="C6" s="2">
        <v>4</v>
      </c>
      <c r="D6" s="2" t="s">
        <v>16</v>
      </c>
      <c r="E6" s="2" t="s">
        <v>17</v>
      </c>
      <c r="F6" s="2" t="s">
        <v>26</v>
      </c>
      <c r="G6" s="4" t="s">
        <v>40</v>
      </c>
      <c r="H6" t="s">
        <v>47</v>
      </c>
      <c r="I6" s="4" t="s">
        <v>48</v>
      </c>
      <c r="J6" t="s">
        <v>49</v>
      </c>
      <c r="K6" t="str">
        <f t="shared" si="0"/>
        <v>(STD) Equipment: Above Clean Equipment  - This text is for the 'I' icon.</v>
      </c>
      <c r="M6" t="s">
        <v>50</v>
      </c>
      <c r="N6" t="s">
        <v>51</v>
      </c>
      <c r="O6" t="s">
        <v>52</v>
      </c>
    </row>
    <row r="7" spans="1:15" x14ac:dyDescent="0.25">
      <c r="A7" t="e">
        <f t="shared" ref="A7" ca="1" si="1">MID(CELL("Filename",A6),FIND("]",CELL("Filename",A6))+1,255)</f>
        <v>#VALUE!</v>
      </c>
      <c r="B7" t="s">
        <v>15</v>
      </c>
      <c r="C7" s="2">
        <v>4</v>
      </c>
      <c r="D7" s="2" t="s">
        <v>16</v>
      </c>
      <c r="E7" s="2" t="s">
        <v>17</v>
      </c>
      <c r="F7" s="2" t="s">
        <v>26</v>
      </c>
      <c r="G7" s="4" t="s">
        <v>40</v>
      </c>
      <c r="H7" t="s">
        <v>53</v>
      </c>
      <c r="I7" s="4" t="s">
        <v>54</v>
      </c>
      <c r="J7" t="s">
        <v>55</v>
      </c>
      <c r="K7" t="str">
        <f t="shared" si="0"/>
        <v>(STD) Surface: Above Clean Surface  - This text is for the 'I' icon.</v>
      </c>
      <c r="M7" t="s">
        <v>56</v>
      </c>
      <c r="N7" t="s">
        <v>57</v>
      </c>
      <c r="O7" t="s">
        <v>58</v>
      </c>
    </row>
    <row r="8" spans="1:15" x14ac:dyDescent="0.25">
      <c r="A8" t="e">
        <f ca="1">MID(CELL("Filename",A10),FIND("]",CELL("Filename",A10))+1,255)</f>
        <v>#VALUE!</v>
      </c>
      <c r="B8" t="s">
        <v>15</v>
      </c>
      <c r="C8" s="2">
        <v>5</v>
      </c>
      <c r="D8" s="2" t="s">
        <v>16</v>
      </c>
      <c r="E8" s="2" t="s">
        <v>17</v>
      </c>
      <c r="F8" s="2" t="s">
        <v>26</v>
      </c>
      <c r="G8" s="4" t="s">
        <v>59</v>
      </c>
      <c r="H8" s="4" t="s">
        <v>60</v>
      </c>
      <c r="I8" s="4" t="s">
        <v>61</v>
      </c>
      <c r="J8" s="4" t="s">
        <v>62</v>
      </c>
      <c r="K8" t="str">
        <f t="shared" si="0"/>
        <v>(STD) Dirty: Poor Maintenance  - This text is for the 'I' icon.</v>
      </c>
      <c r="M8" t="s">
        <v>63</v>
      </c>
      <c r="N8" t="s">
        <v>64</v>
      </c>
      <c r="O8" t="s">
        <v>65</v>
      </c>
    </row>
    <row r="9" spans="1:15" x14ac:dyDescent="0.25">
      <c r="A9" t="e">
        <f ca="1">MID(CELL("Filename",A4),FIND("]",CELL("Filename",A4))+1,255)</f>
        <v>#VALUE!</v>
      </c>
      <c r="B9" t="s">
        <v>15</v>
      </c>
      <c r="C9" s="2">
        <v>5</v>
      </c>
      <c r="D9" s="2" t="s">
        <v>16</v>
      </c>
      <c r="E9" s="2" t="s">
        <v>17</v>
      </c>
      <c r="F9" s="2" t="s">
        <v>26</v>
      </c>
      <c r="G9" s="4" t="s">
        <v>59</v>
      </c>
      <c r="H9" s="4" t="s">
        <v>66</v>
      </c>
      <c r="I9" s="4" t="s">
        <v>67</v>
      </c>
      <c r="J9" s="4" t="s">
        <v>68</v>
      </c>
      <c r="K9" t="str">
        <f t="shared" si="0"/>
        <v>(STD) Damaged: Repair or Replace  - This text is for the 'I' icon.</v>
      </c>
      <c r="M9" t="s">
        <v>69</v>
      </c>
      <c r="N9" t="s">
        <v>70</v>
      </c>
      <c r="O9" t="s">
        <v>71</v>
      </c>
    </row>
    <row r="10" spans="1:15" x14ac:dyDescent="0.25">
      <c r="A10" t="e">
        <f ca="1">MID(CELL("Filename",A5),FIND("]",CELL("Filename",A5))+1,255)</f>
        <v>#VALUE!</v>
      </c>
      <c r="B10" t="s">
        <v>15</v>
      </c>
      <c r="C10" s="2">
        <v>5</v>
      </c>
      <c r="D10" s="2" t="s">
        <v>16</v>
      </c>
      <c r="E10" s="2" t="s">
        <v>17</v>
      </c>
      <c r="F10" s="2" t="s">
        <v>26</v>
      </c>
      <c r="G10" s="4" t="s">
        <v>59</v>
      </c>
      <c r="H10" s="4" t="s">
        <v>72</v>
      </c>
      <c r="I10" s="4" t="s">
        <v>73</v>
      </c>
      <c r="J10" s="4" t="s">
        <v>74</v>
      </c>
      <c r="K10" t="str">
        <f t="shared" si="0"/>
        <v>(STD) Part Missing: Order Part or Replace  - This text is for the 'I' icon.</v>
      </c>
      <c r="M10" t="s">
        <v>75</v>
      </c>
      <c r="N10" t="s">
        <v>76</v>
      </c>
      <c r="O10" t="s">
        <v>77</v>
      </c>
    </row>
    <row r="11" spans="1:15" x14ac:dyDescent="0.25">
      <c r="A11" t="e">
        <f ca="1">MID(CELL("Filename",A3),FIND("]",CELL("Filename",A3))+1,255)</f>
        <v>#VALUE!</v>
      </c>
      <c r="B11" t="s">
        <v>15</v>
      </c>
      <c r="C11" s="2">
        <v>6</v>
      </c>
      <c r="D11" s="2" t="s">
        <v>16</v>
      </c>
      <c r="E11" s="2" t="s">
        <v>17</v>
      </c>
      <c r="F11" s="2" t="s">
        <v>26</v>
      </c>
      <c r="G11" t="s">
        <v>78</v>
      </c>
      <c r="H11" t="s">
        <v>79</v>
      </c>
      <c r="I11" s="4" t="s">
        <v>80</v>
      </c>
      <c r="J11" t="s">
        <v>81</v>
      </c>
      <c r="K11" t="str">
        <f t="shared" si="0"/>
        <v>(STD) Not Changed: IPM Plan Not Followed  - This text is for the 'I' icon.</v>
      </c>
      <c r="M11" t="s">
        <v>82</v>
      </c>
      <c r="N11" t="s">
        <v>83</v>
      </c>
      <c r="O11" t="s">
        <v>84</v>
      </c>
    </row>
    <row r="12" spans="1:15" x14ac:dyDescent="0.25">
      <c r="A12" t="e">
        <f ca="1">MID(CELL("Filename",A21),FIND("]",CELL("Filename",A21))+1,255)</f>
        <v>#VALUE!</v>
      </c>
      <c r="B12" t="s">
        <v>15</v>
      </c>
      <c r="C12" s="2">
        <v>6</v>
      </c>
      <c r="D12" s="2" t="s">
        <v>16</v>
      </c>
      <c r="E12" s="2" t="s">
        <v>17</v>
      </c>
      <c r="F12" s="2" t="s">
        <v>26</v>
      </c>
      <c r="G12" t="s">
        <v>78</v>
      </c>
      <c r="H12" s="4" t="s">
        <v>85</v>
      </c>
      <c r="I12" t="s">
        <v>86</v>
      </c>
      <c r="J12" s="4" t="s">
        <v>87</v>
      </c>
      <c r="K12" t="str">
        <f t="shared" si="0"/>
        <v>(STD) Type: Not Shatterproof  - This text is for the 'I' icon.</v>
      </c>
      <c r="M12" t="s">
        <v>88</v>
      </c>
      <c r="N12" t="s">
        <v>89</v>
      </c>
      <c r="O12" t="s">
        <v>90</v>
      </c>
    </row>
    <row r="13" spans="1:15" x14ac:dyDescent="0.25">
      <c r="A13" t="e">
        <f ca="1">MID(CELL("Filename",A12),FIND("]",CELL("Filename",A12))+1,255)</f>
        <v>#VALUE!</v>
      </c>
      <c r="B13" t="s">
        <v>15</v>
      </c>
      <c r="C13" s="2">
        <v>7</v>
      </c>
      <c r="D13" s="2" t="s">
        <v>16</v>
      </c>
      <c r="E13" s="2" t="s">
        <v>17</v>
      </c>
      <c r="F13" s="2" t="s">
        <v>26</v>
      </c>
      <c r="G13" s="3" t="s">
        <v>91</v>
      </c>
      <c r="H13" t="s">
        <v>79</v>
      </c>
      <c r="I13" s="4" t="s">
        <v>80</v>
      </c>
      <c r="J13" t="s">
        <v>92</v>
      </c>
      <c r="K13" t="str">
        <f t="shared" si="0"/>
        <v>(STD) Not Changed: IPM Plan Not Followed  - This text is for the 'I' icon.</v>
      </c>
      <c r="M13" t="s">
        <v>93</v>
      </c>
      <c r="N13" t="s">
        <v>94</v>
      </c>
      <c r="O13" t="s">
        <v>95</v>
      </c>
    </row>
    <row r="14" spans="1:15" x14ac:dyDescent="0.25">
      <c r="A14" t="e">
        <f ca="1">MID(CELL("Filename",A10),FIND("]",CELL("Filename",A10))+1,255)</f>
        <v>#VALUE!</v>
      </c>
      <c r="B14" t="s">
        <v>15</v>
      </c>
      <c r="C14" s="2">
        <v>7</v>
      </c>
      <c r="D14" s="2" t="s">
        <v>16</v>
      </c>
      <c r="E14" s="2" t="s">
        <v>17</v>
      </c>
      <c r="F14" s="2" t="s">
        <v>26</v>
      </c>
      <c r="G14" s="3" t="s">
        <v>91</v>
      </c>
      <c r="H14" t="s">
        <v>85</v>
      </c>
      <c r="I14" s="4" t="s">
        <v>96</v>
      </c>
      <c r="J14" t="s">
        <v>97</v>
      </c>
      <c r="K14" t="str">
        <f t="shared" si="0"/>
        <v>(STD) Type: Incorrect Type  - This text is for the 'I' icon.</v>
      </c>
      <c r="M14" t="s">
        <v>98</v>
      </c>
      <c r="N14" t="s">
        <v>99</v>
      </c>
      <c r="O14" t="s">
        <v>100</v>
      </c>
    </row>
    <row r="15" spans="1:15" x14ac:dyDescent="0.25">
      <c r="A15" t="e">
        <f ca="1">MID(CELL("Filename",A11),FIND("]",CELL("Filename",A11))+1,255)</f>
        <v>#VALUE!</v>
      </c>
      <c r="B15" t="s">
        <v>15</v>
      </c>
      <c r="C15" s="2">
        <v>7</v>
      </c>
      <c r="D15" s="2" t="s">
        <v>16</v>
      </c>
      <c r="E15" s="2" t="s">
        <v>17</v>
      </c>
      <c r="F15" s="2" t="s">
        <v>26</v>
      </c>
      <c r="G15" s="3" t="s">
        <v>91</v>
      </c>
      <c r="H15" t="s">
        <v>101</v>
      </c>
      <c r="I15" s="3" t="s">
        <v>102</v>
      </c>
      <c r="J15" t="s">
        <v>103</v>
      </c>
      <c r="K15" t="str">
        <f t="shared" si="0"/>
        <v>(STD) Expiry Date: Missing  - This text is for the 'I' icon.</v>
      </c>
      <c r="M15" t="s">
        <v>104</v>
      </c>
      <c r="N15" t="s">
        <v>105</v>
      </c>
      <c r="O15" t="s">
        <v>106</v>
      </c>
    </row>
    <row r="16" spans="1:15" x14ac:dyDescent="0.25">
      <c r="A16" t="e">
        <f ca="1">MID(CELL("Filename",A19),FIND("]",CELL("Filename",A19))+1,255)</f>
        <v>#VALUE!</v>
      </c>
      <c r="B16" t="s">
        <v>15</v>
      </c>
      <c r="C16" s="2">
        <v>7</v>
      </c>
      <c r="D16" s="2" t="s">
        <v>16</v>
      </c>
      <c r="E16" s="2" t="s">
        <v>17</v>
      </c>
      <c r="F16" s="2" t="s">
        <v>26</v>
      </c>
      <c r="G16" s="3" t="s">
        <v>91</v>
      </c>
      <c r="H16" t="s">
        <v>102</v>
      </c>
      <c r="I16" s="3" t="s">
        <v>107</v>
      </c>
      <c r="J16" t="s">
        <v>108</v>
      </c>
      <c r="K16" t="str">
        <f t="shared" si="0"/>
        <v>(STD) Missing: No Glue Board  - This text is for the 'I' icon.</v>
      </c>
      <c r="M16" t="s">
        <v>109</v>
      </c>
      <c r="N16" t="s">
        <v>110</v>
      </c>
      <c r="O16" t="s">
        <v>111</v>
      </c>
    </row>
    <row r="17" spans="1:15" x14ac:dyDescent="0.25">
      <c r="A17" t="e">
        <f ca="1">MID(CELL("Filename",A19),FIND("]",CELL("Filename",A19))+1,255)</f>
        <v>#VALUE!</v>
      </c>
      <c r="B17" t="s">
        <v>15</v>
      </c>
      <c r="C17" s="2">
        <v>8</v>
      </c>
      <c r="D17" s="2" t="s">
        <v>16</v>
      </c>
      <c r="E17" s="2" t="s">
        <v>17</v>
      </c>
      <c r="F17" s="2" t="s">
        <v>26</v>
      </c>
      <c r="G17" s="3" t="s">
        <v>112</v>
      </c>
      <c r="H17" s="4" t="s">
        <v>102</v>
      </c>
      <c r="I17" s="3" t="s">
        <v>113</v>
      </c>
      <c r="J17" s="3" t="s">
        <v>114</v>
      </c>
      <c r="K17" t="str">
        <f t="shared" si="0"/>
        <v>(STD) Missing: No Maintencne Label  - This text is for the 'I' icon.</v>
      </c>
      <c r="M17" t="s">
        <v>115</v>
      </c>
      <c r="N17" t="s">
        <v>116</v>
      </c>
      <c r="O17" t="s">
        <v>117</v>
      </c>
    </row>
    <row r="18" spans="1:15" x14ac:dyDescent="0.25">
      <c r="A18" t="e">
        <f ca="1">MID(CELL("Filename",A13),FIND("]",CELL("Filename",A13))+1,255)</f>
        <v>#VALUE!</v>
      </c>
      <c r="B18" t="s">
        <v>15</v>
      </c>
      <c r="C18" s="2">
        <v>8</v>
      </c>
      <c r="D18" s="2" t="s">
        <v>16</v>
      </c>
      <c r="E18" s="2" t="s">
        <v>17</v>
      </c>
      <c r="F18" s="2" t="s">
        <v>26</v>
      </c>
      <c r="G18" s="3" t="s">
        <v>112</v>
      </c>
      <c r="H18" t="s">
        <v>118</v>
      </c>
      <c r="I18" s="3" t="s">
        <v>119</v>
      </c>
      <c r="J18" t="s">
        <v>120</v>
      </c>
      <c r="K18" t="str">
        <f t="shared" si="0"/>
        <v>(STD) Not Completed: No Maintenance Dates  - This text is for the 'I' icon.</v>
      </c>
      <c r="M18" t="s">
        <v>121</v>
      </c>
      <c r="N18" t="s">
        <v>122</v>
      </c>
      <c r="O18" t="s">
        <v>123</v>
      </c>
    </row>
    <row r="19" spans="1:15" x14ac:dyDescent="0.25">
      <c r="A19" t="e">
        <f ca="1">MID(CELL("Filename",A18),FIND("]",CELL("Filename",A18))+1,255)</f>
        <v>#VALUE!</v>
      </c>
      <c r="B19" t="s">
        <v>15</v>
      </c>
      <c r="C19" s="2">
        <v>8</v>
      </c>
      <c r="D19" s="2" t="s">
        <v>16</v>
      </c>
      <c r="E19" s="2" t="s">
        <v>17</v>
      </c>
      <c r="F19" s="2" t="s">
        <v>26</v>
      </c>
      <c r="G19" s="3" t="s">
        <v>112</v>
      </c>
      <c r="H19" t="s">
        <v>124</v>
      </c>
      <c r="I19" s="3" t="s">
        <v>125</v>
      </c>
      <c r="J19" t="s">
        <v>126</v>
      </c>
      <c r="K19" t="str">
        <f t="shared" si="0"/>
        <v>(STD) Dates: Future Dates Applied  - This text is for the 'I' icon.</v>
      </c>
      <c r="M19" t="s">
        <v>127</v>
      </c>
      <c r="N19" t="s">
        <v>128</v>
      </c>
      <c r="O19" t="s">
        <v>129</v>
      </c>
    </row>
    <row r="20" spans="1:15" x14ac:dyDescent="0.25">
      <c r="A20" t="e">
        <f ca="1">MID(CELL("Filename",A8),FIND("]",CELL("Filename",A8))+1,255)</f>
        <v>#VALUE!</v>
      </c>
      <c r="B20" t="s">
        <v>15</v>
      </c>
      <c r="C20" s="2">
        <v>9</v>
      </c>
      <c r="D20" s="2" t="s">
        <v>16</v>
      </c>
      <c r="E20" s="2" t="s">
        <v>17</v>
      </c>
      <c r="F20" s="2" t="s">
        <v>26</v>
      </c>
      <c r="G20" t="s">
        <v>130</v>
      </c>
      <c r="H20" s="4" t="s">
        <v>131</v>
      </c>
      <c r="I20" s="3" t="s">
        <v>132</v>
      </c>
      <c r="J20" s="3" t="s">
        <v>133</v>
      </c>
      <c r="K20" t="str">
        <f t="shared" si="0"/>
        <v>(STD) End Cap: Not Sealed  - This text is for the 'I' icon.</v>
      </c>
      <c r="M20" t="s">
        <v>134</v>
      </c>
      <c r="N20" t="s">
        <v>135</v>
      </c>
      <c r="O20" t="s">
        <v>136</v>
      </c>
    </row>
    <row r="21" spans="1:15" x14ac:dyDescent="0.25">
      <c r="A21" t="e">
        <f ca="1">MID(CELL("Filename",A9),FIND("]",CELL("Filename",A9))+1,255)</f>
        <v>#VALUE!</v>
      </c>
      <c r="B21" t="s">
        <v>15</v>
      </c>
      <c r="C21" s="2">
        <v>9</v>
      </c>
      <c r="D21" s="2" t="s">
        <v>16</v>
      </c>
      <c r="E21" s="2" t="s">
        <v>17</v>
      </c>
      <c r="F21" s="2" t="s">
        <v>26</v>
      </c>
      <c r="G21" t="s">
        <v>130</v>
      </c>
      <c r="H21" t="s">
        <v>137</v>
      </c>
      <c r="I21" s="4" t="s">
        <v>138</v>
      </c>
      <c r="J21" t="s">
        <v>139</v>
      </c>
      <c r="K21" t="str">
        <f t="shared" si="0"/>
        <v>(STD) Power: Switched Supply  - This text is for the 'I' icon.</v>
      </c>
      <c r="M21" t="s">
        <v>140</v>
      </c>
      <c r="N21" t="s">
        <v>141</v>
      </c>
      <c r="O21" t="s">
        <v>142</v>
      </c>
    </row>
    <row r="22" spans="1:15" x14ac:dyDescent="0.25">
      <c r="A22" t="e">
        <f ca="1">MID(CELL("Filename",A11),FIND("]",CELL("Filename",A11))+1,255)</f>
        <v>#VALUE!</v>
      </c>
      <c r="B22" t="s">
        <v>15</v>
      </c>
      <c r="C22" s="2">
        <v>9</v>
      </c>
      <c r="D22" s="2" t="s">
        <v>16</v>
      </c>
      <c r="E22" s="2" t="s">
        <v>17</v>
      </c>
      <c r="F22" s="2" t="s">
        <v>26</v>
      </c>
      <c r="G22" t="s">
        <v>130</v>
      </c>
      <c r="H22" t="s">
        <v>143</v>
      </c>
      <c r="I22" s="3" t="s">
        <v>144</v>
      </c>
      <c r="J22" t="s">
        <v>145</v>
      </c>
      <c r="K22" t="str">
        <f t="shared" si="0"/>
        <v>(STD) Wiring: Excessive length  - This text is for the 'I' icon.</v>
      </c>
      <c r="M22" t="s">
        <v>146</v>
      </c>
      <c r="N22" t="s">
        <v>147</v>
      </c>
      <c r="O22" t="s">
        <v>148</v>
      </c>
    </row>
    <row r="23" spans="1:15" x14ac:dyDescent="0.25">
      <c r="A23" t="e">
        <f t="shared" ref="A23:A54" ca="1" si="2">MID(CELL("Filename",A12),FIND("]",CELL("Filename",A12))+1,255)</f>
        <v>#VALUE!</v>
      </c>
      <c r="B23" t="s">
        <v>15</v>
      </c>
      <c r="C23" s="2">
        <v>9</v>
      </c>
      <c r="D23" s="2" t="s">
        <v>16</v>
      </c>
      <c r="E23" s="2" t="s">
        <v>17</v>
      </c>
      <c r="F23" s="2" t="s">
        <v>26</v>
      </c>
      <c r="G23" t="s">
        <v>130</v>
      </c>
      <c r="H23" s="5" t="s">
        <v>149</v>
      </c>
      <c r="I23" s="3" t="s">
        <v>150</v>
      </c>
      <c r="J23" s="3" t="s">
        <v>151</v>
      </c>
      <c r="K23" t="str">
        <f t="shared" si="0"/>
        <v>(STD) Not Illuminated: Fly Killer Broken  - This text is for the 'I' icon.</v>
      </c>
      <c r="M23" t="s">
        <v>152</v>
      </c>
      <c r="N23" t="s">
        <v>153</v>
      </c>
      <c r="O23" t="s">
        <v>154</v>
      </c>
    </row>
    <row r="24" spans="1:15" x14ac:dyDescent="0.25">
      <c r="A24" t="e">
        <f t="shared" ca="1" si="2"/>
        <v>#VALUE!</v>
      </c>
      <c r="B24" t="s">
        <v>15</v>
      </c>
      <c r="C24" s="2">
        <v>9</v>
      </c>
      <c r="D24" s="2" t="s">
        <v>16</v>
      </c>
      <c r="E24" s="2" t="s">
        <v>17</v>
      </c>
      <c r="F24" s="2" t="s">
        <v>26</v>
      </c>
      <c r="G24" t="s">
        <v>130</v>
      </c>
      <c r="H24" s="5" t="s">
        <v>155</v>
      </c>
      <c r="I24" s="3" t="s">
        <v>156</v>
      </c>
      <c r="J24" s="4" t="s">
        <v>157</v>
      </c>
      <c r="K24" t="str">
        <f t="shared" si="0"/>
        <v>(STD) UV Tube: Not Working  - This text is for the 'I' icon.</v>
      </c>
      <c r="M24" t="s">
        <v>158</v>
      </c>
      <c r="N24" t="s">
        <v>159</v>
      </c>
      <c r="O24" t="s">
        <v>160</v>
      </c>
    </row>
    <row r="25" spans="1:15" x14ac:dyDescent="0.25">
      <c r="A25" t="e">
        <f t="shared" ca="1" si="2"/>
        <v>#VALUE!</v>
      </c>
      <c r="B25" t="s">
        <v>15</v>
      </c>
      <c r="C25" s="2">
        <v>9</v>
      </c>
      <c r="D25" s="2" t="s">
        <v>16</v>
      </c>
      <c r="E25" s="2" t="s">
        <v>17</v>
      </c>
      <c r="F25" s="2" t="s">
        <v>26</v>
      </c>
      <c r="G25" t="s">
        <v>130</v>
      </c>
      <c r="H25" s="5" t="s">
        <v>161</v>
      </c>
      <c r="I25" s="3" t="s">
        <v>162</v>
      </c>
      <c r="J25" s="4" t="s">
        <v>163</v>
      </c>
      <c r="K25" t="str">
        <f t="shared" si="0"/>
        <v>(STD) Unplugged: Unswitched Fused Spur Box  - This text is for the 'I' icon.</v>
      </c>
      <c r="M25" t="s">
        <v>164</v>
      </c>
      <c r="N25" t="s">
        <v>165</v>
      </c>
      <c r="O25" t="s">
        <v>166</v>
      </c>
    </row>
    <row r="26" spans="1:15" x14ac:dyDescent="0.25">
      <c r="A26" t="e">
        <f t="shared" ca="1" si="2"/>
        <v>#VALUE!</v>
      </c>
      <c r="B26" t="s">
        <v>15</v>
      </c>
      <c r="C26" s="2">
        <v>10</v>
      </c>
      <c r="D26" s="2" t="s">
        <v>16</v>
      </c>
      <c r="E26" s="2" t="s">
        <v>17</v>
      </c>
      <c r="F26" s="2" t="s">
        <v>26</v>
      </c>
      <c r="G26" t="s">
        <v>167</v>
      </c>
      <c r="H26" t="s">
        <v>168</v>
      </c>
      <c r="I26" s="4" t="s">
        <v>169</v>
      </c>
      <c r="J26" s="3" t="s">
        <v>170</v>
      </c>
      <c r="K26" t="str">
        <f t="shared" si="0"/>
        <v>(STD) Zapper Type: Replace  - This text is for the 'I' icon.</v>
      </c>
      <c r="M26" t="s">
        <v>171</v>
      </c>
      <c r="N26" t="s">
        <v>172</v>
      </c>
      <c r="O26" t="s">
        <v>173</v>
      </c>
    </row>
    <row r="27" spans="1:15" x14ac:dyDescent="0.25">
      <c r="A27" t="e">
        <f t="shared" ca="1" si="2"/>
        <v>#VALUE!</v>
      </c>
      <c r="B27" t="s">
        <v>15</v>
      </c>
      <c r="C27" s="2">
        <v>10</v>
      </c>
      <c r="D27" s="2" t="s">
        <v>16</v>
      </c>
      <c r="E27" s="2" t="s">
        <v>17</v>
      </c>
      <c r="F27" s="2" t="s">
        <v>26</v>
      </c>
      <c r="G27" t="s">
        <v>167</v>
      </c>
      <c r="H27" t="s">
        <v>174</v>
      </c>
      <c r="I27" s="3" t="s">
        <v>175</v>
      </c>
      <c r="J27" s="3" t="s">
        <v>176</v>
      </c>
      <c r="K27" t="str">
        <f t="shared" si="0"/>
        <v>(STD) Food Area: Remove  - This text is for the 'I' icon.</v>
      </c>
      <c r="M27" t="s">
        <v>177</v>
      </c>
      <c r="N27" t="s">
        <v>178</v>
      </c>
      <c r="O27" t="s">
        <v>179</v>
      </c>
    </row>
    <row r="28" spans="1:15" x14ac:dyDescent="0.25">
      <c r="A28" t="e">
        <f t="shared" ca="1" si="2"/>
        <v>#VALUE!</v>
      </c>
      <c r="B28" t="s">
        <v>15</v>
      </c>
      <c r="C28" s="2">
        <v>1</v>
      </c>
      <c r="D28" s="2" t="s">
        <v>180</v>
      </c>
      <c r="E28" s="2" t="s">
        <v>181</v>
      </c>
      <c r="F28" s="2" t="s">
        <v>18</v>
      </c>
      <c r="G28" s="3" t="s">
        <v>19</v>
      </c>
      <c r="H28" t="s">
        <v>20</v>
      </c>
      <c r="I28" s="3" t="s">
        <v>21</v>
      </c>
      <c r="J28" t="s">
        <v>22</v>
      </c>
      <c r="K28" t="str">
        <f>"("&amp;D28&amp;") "&amp;H28&amp;": "&amp;I28&amp;" "&amp;" - This text is for the 'I' icon."</f>
        <v>(LED) Good Fly Killer: Required Standard  - This text is for the 'I' icon.</v>
      </c>
      <c r="M28" t="s">
        <v>182</v>
      </c>
      <c r="N28" t="s">
        <v>183</v>
      </c>
      <c r="O28" t="s">
        <v>184</v>
      </c>
    </row>
    <row r="29" spans="1:15" x14ac:dyDescent="0.25">
      <c r="A29" t="e">
        <f t="shared" ca="1" si="2"/>
        <v>#VALUE!</v>
      </c>
      <c r="B29" t="s">
        <v>15</v>
      </c>
      <c r="C29" s="2">
        <v>2</v>
      </c>
      <c r="D29" s="2" t="s">
        <v>180</v>
      </c>
      <c r="E29" s="2" t="s">
        <v>181</v>
      </c>
      <c r="F29" s="2" t="s">
        <v>26</v>
      </c>
      <c r="G29" s="4" t="s">
        <v>27</v>
      </c>
      <c r="H29" t="s">
        <v>27</v>
      </c>
      <c r="I29" s="3" t="s">
        <v>28</v>
      </c>
      <c r="J29" t="s">
        <v>29</v>
      </c>
      <c r="K29" t="str">
        <f>"("&amp;D29&amp;") "&amp;H29&amp;": "&amp;I29&amp;" "&amp;" - This text is for the 'I' icon."</f>
        <v>(LED) Quantity: More Recommended  - This text is for the 'I' icon.</v>
      </c>
      <c r="M29" t="s">
        <v>185</v>
      </c>
      <c r="N29" t="s">
        <v>186</v>
      </c>
      <c r="O29" t="s">
        <v>187</v>
      </c>
    </row>
    <row r="30" spans="1:15" x14ac:dyDescent="0.25">
      <c r="A30" t="e">
        <f t="shared" ca="1" si="2"/>
        <v>#VALUE!</v>
      </c>
      <c r="B30" t="s">
        <v>15</v>
      </c>
      <c r="C30" s="2">
        <v>3</v>
      </c>
      <c r="D30" s="2" t="s">
        <v>180</v>
      </c>
      <c r="E30" s="2" t="s">
        <v>181</v>
      </c>
      <c r="F30" s="2" t="s">
        <v>26</v>
      </c>
      <c r="G30" s="4" t="s">
        <v>33</v>
      </c>
      <c r="H30" s="4" t="s">
        <v>34</v>
      </c>
      <c r="I30" s="4" t="s">
        <v>35</v>
      </c>
      <c r="J30" s="4" t="s">
        <v>36</v>
      </c>
      <c r="K30" t="str">
        <f t="shared" ref="K30:K39" si="3">"("&amp;D30&amp;") "&amp;H30&amp;": "&amp;I30&amp;" "&amp;" - This text is for the 'I' icon."</f>
        <v>(LED) Incorrect Location: Not as IPM Log  - This text is for the 'I' icon.</v>
      </c>
      <c r="M30" t="s">
        <v>188</v>
      </c>
      <c r="N30" t="s">
        <v>189</v>
      </c>
      <c r="O30" t="s">
        <v>190</v>
      </c>
    </row>
    <row r="31" spans="1:15" x14ac:dyDescent="0.25">
      <c r="A31" t="e">
        <f t="shared" ca="1" si="2"/>
        <v>#VALUE!</v>
      </c>
      <c r="B31" t="s">
        <v>15</v>
      </c>
      <c r="C31" s="2">
        <v>4</v>
      </c>
      <c r="D31" s="2" t="s">
        <v>180</v>
      </c>
      <c r="E31" s="2" t="s">
        <v>181</v>
      </c>
      <c r="F31" s="2" t="s">
        <v>26</v>
      </c>
      <c r="G31" s="4" t="s">
        <v>40</v>
      </c>
      <c r="H31" t="s">
        <v>41</v>
      </c>
      <c r="I31" s="4" t="s">
        <v>42</v>
      </c>
      <c r="J31" t="s">
        <v>43</v>
      </c>
      <c r="K31" t="str">
        <f t="shared" si="3"/>
        <v>(LED) Food: Above Food  - This text is for the 'I' icon.</v>
      </c>
      <c r="M31" t="s">
        <v>191</v>
      </c>
      <c r="N31" t="s">
        <v>192</v>
      </c>
      <c r="O31" t="s">
        <v>193</v>
      </c>
    </row>
    <row r="32" spans="1:15" x14ac:dyDescent="0.25">
      <c r="A32" t="e">
        <f t="shared" ca="1" si="2"/>
        <v>#VALUE!</v>
      </c>
      <c r="B32" t="s">
        <v>15</v>
      </c>
      <c r="C32" s="2">
        <v>4</v>
      </c>
      <c r="D32" s="2" t="s">
        <v>180</v>
      </c>
      <c r="E32" s="2" t="s">
        <v>181</v>
      </c>
      <c r="F32" s="2" t="s">
        <v>26</v>
      </c>
      <c r="G32" s="4" t="s">
        <v>40</v>
      </c>
      <c r="H32" t="s">
        <v>47</v>
      </c>
      <c r="I32" s="4" t="s">
        <v>48</v>
      </c>
      <c r="J32" t="s">
        <v>49</v>
      </c>
      <c r="K32" t="str">
        <f t="shared" si="3"/>
        <v>(LED) Equipment: Above Clean Equipment  - This text is for the 'I' icon.</v>
      </c>
      <c r="M32" t="s">
        <v>194</v>
      </c>
      <c r="N32" t="s">
        <v>195</v>
      </c>
      <c r="O32" t="s">
        <v>196</v>
      </c>
    </row>
    <row r="33" spans="1:15" x14ac:dyDescent="0.25">
      <c r="A33" t="e">
        <f t="shared" ca="1" si="2"/>
        <v>#VALUE!</v>
      </c>
      <c r="B33" t="s">
        <v>15</v>
      </c>
      <c r="C33" s="2">
        <v>4</v>
      </c>
      <c r="D33" s="2" t="s">
        <v>180</v>
      </c>
      <c r="E33" s="2" t="s">
        <v>181</v>
      </c>
      <c r="F33" s="2" t="s">
        <v>26</v>
      </c>
      <c r="G33" s="4" t="s">
        <v>40</v>
      </c>
      <c r="H33" t="s">
        <v>53</v>
      </c>
      <c r="I33" s="4" t="s">
        <v>54</v>
      </c>
      <c r="J33" t="s">
        <v>55</v>
      </c>
      <c r="K33" t="str">
        <f t="shared" si="3"/>
        <v>(LED) Surface: Above Clean Surface  - This text is for the 'I' icon.</v>
      </c>
      <c r="M33" t="s">
        <v>197</v>
      </c>
      <c r="N33" t="s">
        <v>198</v>
      </c>
      <c r="O33" t="s">
        <v>199</v>
      </c>
    </row>
    <row r="34" spans="1:15" x14ac:dyDescent="0.25">
      <c r="A34" t="e">
        <f t="shared" ca="1" si="2"/>
        <v>#VALUE!</v>
      </c>
      <c r="B34" t="s">
        <v>15</v>
      </c>
      <c r="C34" s="2">
        <v>5</v>
      </c>
      <c r="D34" s="2" t="s">
        <v>180</v>
      </c>
      <c r="E34" s="2" t="s">
        <v>181</v>
      </c>
      <c r="F34" s="2" t="s">
        <v>26</v>
      </c>
      <c r="G34" s="4" t="s">
        <v>59</v>
      </c>
      <c r="H34" s="4" t="s">
        <v>60</v>
      </c>
      <c r="I34" s="4" t="s">
        <v>61</v>
      </c>
      <c r="J34" s="4" t="s">
        <v>62</v>
      </c>
      <c r="K34" t="str">
        <f t="shared" si="3"/>
        <v>(LED) Dirty: Poor Maintenance  - This text is for the 'I' icon.</v>
      </c>
      <c r="M34" t="s">
        <v>200</v>
      </c>
      <c r="N34" t="s">
        <v>201</v>
      </c>
      <c r="O34" t="s">
        <v>202</v>
      </c>
    </row>
    <row r="35" spans="1:15" x14ac:dyDescent="0.25">
      <c r="A35" t="e">
        <f t="shared" ca="1" si="2"/>
        <v>#VALUE!</v>
      </c>
      <c r="B35" t="s">
        <v>15</v>
      </c>
      <c r="C35" s="2">
        <v>5</v>
      </c>
      <c r="D35" s="2" t="s">
        <v>180</v>
      </c>
      <c r="E35" s="2" t="s">
        <v>181</v>
      </c>
      <c r="F35" s="2" t="s">
        <v>26</v>
      </c>
      <c r="G35" s="4" t="s">
        <v>59</v>
      </c>
      <c r="H35" s="4" t="s">
        <v>66</v>
      </c>
      <c r="I35" s="4" t="s">
        <v>67</v>
      </c>
      <c r="J35" s="4" t="s">
        <v>68</v>
      </c>
      <c r="K35" t="str">
        <f t="shared" si="3"/>
        <v>(LED) Damaged: Repair or Replace  - This text is for the 'I' icon.</v>
      </c>
      <c r="M35" t="s">
        <v>203</v>
      </c>
      <c r="N35" t="s">
        <v>204</v>
      </c>
      <c r="O35" t="s">
        <v>205</v>
      </c>
    </row>
    <row r="36" spans="1:15" x14ac:dyDescent="0.25">
      <c r="A36" t="e">
        <f t="shared" ca="1" si="2"/>
        <v>#VALUE!</v>
      </c>
      <c r="B36" t="s">
        <v>15</v>
      </c>
      <c r="C36" s="2">
        <v>5</v>
      </c>
      <c r="D36" s="2" t="s">
        <v>180</v>
      </c>
      <c r="E36" s="2" t="s">
        <v>181</v>
      </c>
      <c r="F36" s="2" t="s">
        <v>26</v>
      </c>
      <c r="G36" s="4" t="s">
        <v>59</v>
      </c>
      <c r="H36" s="4" t="s">
        <v>72</v>
      </c>
      <c r="I36" s="4" t="s">
        <v>73</v>
      </c>
      <c r="J36" s="4" t="s">
        <v>74</v>
      </c>
      <c r="K36" t="str">
        <f t="shared" si="3"/>
        <v>(LED) Part Missing: Order Part or Replace  - This text is for the 'I' icon.</v>
      </c>
      <c r="M36" t="s">
        <v>206</v>
      </c>
      <c r="N36" t="s">
        <v>207</v>
      </c>
      <c r="O36" t="s">
        <v>208</v>
      </c>
    </row>
    <row r="37" spans="1:15" x14ac:dyDescent="0.25">
      <c r="A37" t="e">
        <f t="shared" ca="1" si="2"/>
        <v>#VALUE!</v>
      </c>
      <c r="B37" t="s">
        <v>15</v>
      </c>
      <c r="C37" s="2">
        <v>6</v>
      </c>
      <c r="D37" s="2" t="s">
        <v>180</v>
      </c>
      <c r="E37" s="2" t="s">
        <v>181</v>
      </c>
      <c r="F37" s="2" t="s">
        <v>26</v>
      </c>
      <c r="G37" t="s">
        <v>78</v>
      </c>
      <c r="H37" t="s">
        <v>79</v>
      </c>
      <c r="I37" s="4" t="s">
        <v>80</v>
      </c>
      <c r="J37" t="s">
        <v>209</v>
      </c>
      <c r="K37" t="str">
        <f t="shared" si="3"/>
        <v>(LED) Not Changed: IPM Plan Not Followed  - This text is for the 'I' icon.</v>
      </c>
      <c r="M37" t="s">
        <v>210</v>
      </c>
      <c r="N37" t="s">
        <v>211</v>
      </c>
      <c r="O37" t="s">
        <v>212</v>
      </c>
    </row>
    <row r="38" spans="1:15" x14ac:dyDescent="0.25">
      <c r="A38" t="e">
        <f t="shared" ca="1" si="2"/>
        <v>#VALUE!</v>
      </c>
      <c r="B38" t="s">
        <v>15</v>
      </c>
      <c r="C38" s="2">
        <v>6</v>
      </c>
      <c r="D38" s="2" t="s">
        <v>180</v>
      </c>
      <c r="E38" s="2" t="s">
        <v>181</v>
      </c>
      <c r="F38" s="2" t="s">
        <v>26</v>
      </c>
      <c r="G38" t="s">
        <v>78</v>
      </c>
      <c r="H38" s="4" t="s">
        <v>85</v>
      </c>
      <c r="I38" t="s">
        <v>86</v>
      </c>
      <c r="J38" s="4" t="s">
        <v>87</v>
      </c>
      <c r="K38" t="str">
        <f t="shared" si="3"/>
        <v>(LED) Type: Not Shatterproof  - This text is for the 'I' icon.</v>
      </c>
      <c r="M38" t="s">
        <v>213</v>
      </c>
      <c r="N38" t="s">
        <v>214</v>
      </c>
      <c r="O38" t="s">
        <v>215</v>
      </c>
    </row>
    <row r="39" spans="1:15" x14ac:dyDescent="0.25">
      <c r="A39" t="e">
        <f t="shared" ca="1" si="2"/>
        <v>#VALUE!</v>
      </c>
      <c r="B39" t="s">
        <v>15</v>
      </c>
      <c r="C39" s="2">
        <v>6</v>
      </c>
      <c r="D39" s="2" t="s">
        <v>180</v>
      </c>
      <c r="E39" s="2" t="s">
        <v>181</v>
      </c>
      <c r="F39" s="2" t="s">
        <v>26</v>
      </c>
      <c r="G39" t="s">
        <v>78</v>
      </c>
      <c r="H39" s="4" t="s">
        <v>216</v>
      </c>
      <c r="I39" s="4" t="s">
        <v>217</v>
      </c>
      <c r="J39" s="4" t="s">
        <v>218</v>
      </c>
      <c r="K39" t="str">
        <f t="shared" si="3"/>
        <v>(LED) Orientation: Not Correct  - This text is for the 'I' icon.</v>
      </c>
      <c r="M39" t="s">
        <v>219</v>
      </c>
      <c r="N39" t="s">
        <v>220</v>
      </c>
      <c r="O39" t="s">
        <v>221</v>
      </c>
    </row>
    <row r="40" spans="1:15" x14ac:dyDescent="0.25">
      <c r="A40" t="e">
        <f t="shared" ca="1" si="2"/>
        <v>#VALUE!</v>
      </c>
      <c r="B40" t="s">
        <v>15</v>
      </c>
      <c r="C40" s="2">
        <v>7</v>
      </c>
      <c r="D40" s="2" t="s">
        <v>180</v>
      </c>
      <c r="E40" s="2" t="s">
        <v>181</v>
      </c>
      <c r="F40" s="2" t="s">
        <v>26</v>
      </c>
      <c r="G40" s="3" t="s">
        <v>91</v>
      </c>
      <c r="H40" t="s">
        <v>79</v>
      </c>
      <c r="I40" s="4" t="s">
        <v>80</v>
      </c>
      <c r="J40" t="s">
        <v>92</v>
      </c>
      <c r="K40" t="str">
        <f t="shared" ref="K40:K54" si="4">"("&amp;D39&amp;") "&amp;H40&amp;": "&amp;I40&amp;" "&amp;" - This text is for the 'I' icon."</f>
        <v>(LED) Not Changed: IPM Plan Not Followed  - This text is for the 'I' icon.</v>
      </c>
      <c r="M40" t="s">
        <v>222</v>
      </c>
      <c r="N40" t="s">
        <v>223</v>
      </c>
      <c r="O40" t="s">
        <v>224</v>
      </c>
    </row>
    <row r="41" spans="1:15" x14ac:dyDescent="0.25">
      <c r="A41" t="e">
        <f t="shared" ca="1" si="2"/>
        <v>#VALUE!</v>
      </c>
      <c r="B41" t="s">
        <v>15</v>
      </c>
      <c r="C41" s="2">
        <v>7</v>
      </c>
      <c r="D41" s="2" t="s">
        <v>180</v>
      </c>
      <c r="E41" s="2" t="s">
        <v>181</v>
      </c>
      <c r="F41" s="2" t="s">
        <v>26</v>
      </c>
      <c r="G41" s="3" t="s">
        <v>91</v>
      </c>
      <c r="H41" t="s">
        <v>85</v>
      </c>
      <c r="I41" s="4" t="s">
        <v>96</v>
      </c>
      <c r="J41" t="s">
        <v>97</v>
      </c>
      <c r="K41" t="str">
        <f t="shared" si="4"/>
        <v>(LED) Type: Incorrect Type  - This text is for the 'I' icon.</v>
      </c>
      <c r="M41" t="s">
        <v>225</v>
      </c>
      <c r="N41" t="s">
        <v>226</v>
      </c>
      <c r="O41" t="s">
        <v>227</v>
      </c>
    </row>
    <row r="42" spans="1:15" x14ac:dyDescent="0.25">
      <c r="A42" t="e">
        <f t="shared" ca="1" si="2"/>
        <v>#VALUE!</v>
      </c>
      <c r="B42" t="s">
        <v>15</v>
      </c>
      <c r="C42" s="2">
        <v>7</v>
      </c>
      <c r="D42" s="2" t="s">
        <v>180</v>
      </c>
      <c r="E42" s="2" t="s">
        <v>181</v>
      </c>
      <c r="F42" s="2" t="s">
        <v>26</v>
      </c>
      <c r="G42" s="3" t="s">
        <v>91</v>
      </c>
      <c r="H42" t="s">
        <v>101</v>
      </c>
      <c r="I42" s="3" t="s">
        <v>102</v>
      </c>
      <c r="J42" t="s">
        <v>103</v>
      </c>
      <c r="K42" t="str">
        <f t="shared" si="4"/>
        <v>(LED) Expiry Date: Missing  - This text is for the 'I' icon.</v>
      </c>
      <c r="M42" t="s">
        <v>228</v>
      </c>
      <c r="N42" t="s">
        <v>229</v>
      </c>
      <c r="O42" t="s">
        <v>230</v>
      </c>
    </row>
    <row r="43" spans="1:15" x14ac:dyDescent="0.25">
      <c r="A43" t="e">
        <f t="shared" ca="1" si="2"/>
        <v>#VALUE!</v>
      </c>
      <c r="B43" t="s">
        <v>15</v>
      </c>
      <c r="C43" s="2">
        <v>7</v>
      </c>
      <c r="D43" s="2" t="s">
        <v>180</v>
      </c>
      <c r="E43" s="2" t="s">
        <v>181</v>
      </c>
      <c r="F43" s="2" t="s">
        <v>26</v>
      </c>
      <c r="G43" s="3" t="s">
        <v>91</v>
      </c>
      <c r="H43" t="s">
        <v>102</v>
      </c>
      <c r="I43" s="3" t="s">
        <v>107</v>
      </c>
      <c r="J43" t="s">
        <v>108</v>
      </c>
      <c r="K43" t="str">
        <f t="shared" si="4"/>
        <v>(LED) Missing: No Glue Board  - This text is for the 'I' icon.</v>
      </c>
      <c r="M43" t="s">
        <v>231</v>
      </c>
      <c r="N43" t="s">
        <v>232</v>
      </c>
      <c r="O43" t="s">
        <v>233</v>
      </c>
    </row>
    <row r="44" spans="1:15" x14ac:dyDescent="0.25">
      <c r="A44" t="e">
        <f t="shared" ca="1" si="2"/>
        <v>#VALUE!</v>
      </c>
      <c r="B44" t="s">
        <v>15</v>
      </c>
      <c r="C44" s="2">
        <v>8</v>
      </c>
      <c r="D44" s="2" t="s">
        <v>180</v>
      </c>
      <c r="E44" s="2" t="s">
        <v>181</v>
      </c>
      <c r="F44" s="2" t="s">
        <v>26</v>
      </c>
      <c r="G44" s="3" t="s">
        <v>112</v>
      </c>
      <c r="H44" s="4" t="s">
        <v>102</v>
      </c>
      <c r="I44" s="3" t="s">
        <v>113</v>
      </c>
      <c r="J44" s="3" t="s">
        <v>114</v>
      </c>
      <c r="K44" t="str">
        <f t="shared" si="4"/>
        <v>(LED) Missing: No Maintencne Label  - This text is for the 'I' icon.</v>
      </c>
      <c r="M44" t="s">
        <v>234</v>
      </c>
      <c r="N44" t="s">
        <v>235</v>
      </c>
      <c r="O44" t="s">
        <v>236</v>
      </c>
    </row>
    <row r="45" spans="1:15" x14ac:dyDescent="0.25">
      <c r="A45" t="e">
        <f t="shared" ca="1" si="2"/>
        <v>#VALUE!</v>
      </c>
      <c r="B45" t="s">
        <v>15</v>
      </c>
      <c r="C45" s="2">
        <v>8</v>
      </c>
      <c r="D45" s="2" t="s">
        <v>180</v>
      </c>
      <c r="E45" s="2" t="s">
        <v>181</v>
      </c>
      <c r="F45" s="2" t="s">
        <v>26</v>
      </c>
      <c r="G45" s="3" t="s">
        <v>112</v>
      </c>
      <c r="H45" t="s">
        <v>118</v>
      </c>
      <c r="I45" s="3" t="s">
        <v>119</v>
      </c>
      <c r="J45" t="s">
        <v>120</v>
      </c>
      <c r="K45" t="str">
        <f t="shared" si="4"/>
        <v>(LED) Not Completed: No Maintenance Dates  - This text is for the 'I' icon.</v>
      </c>
      <c r="M45" t="s">
        <v>237</v>
      </c>
      <c r="N45" t="s">
        <v>238</v>
      </c>
      <c r="O45" t="s">
        <v>239</v>
      </c>
    </row>
    <row r="46" spans="1:15" x14ac:dyDescent="0.25">
      <c r="A46" t="e">
        <f t="shared" ca="1" si="2"/>
        <v>#VALUE!</v>
      </c>
      <c r="B46" t="s">
        <v>15</v>
      </c>
      <c r="C46" s="2">
        <v>8</v>
      </c>
      <c r="D46" s="2" t="s">
        <v>180</v>
      </c>
      <c r="E46" s="2" t="s">
        <v>181</v>
      </c>
      <c r="F46" s="2" t="s">
        <v>26</v>
      </c>
      <c r="G46" s="3" t="s">
        <v>112</v>
      </c>
      <c r="H46" t="s">
        <v>124</v>
      </c>
      <c r="I46" s="3" t="s">
        <v>125</v>
      </c>
      <c r="J46" t="s">
        <v>126</v>
      </c>
      <c r="K46" t="str">
        <f t="shared" si="4"/>
        <v>(LED) Dates: Future Dates Applied  - This text is for the 'I' icon.</v>
      </c>
      <c r="M46" t="s">
        <v>240</v>
      </c>
      <c r="N46" t="s">
        <v>241</v>
      </c>
      <c r="O46" t="s">
        <v>242</v>
      </c>
    </row>
    <row r="47" spans="1:15" x14ac:dyDescent="0.25">
      <c r="A47" t="e">
        <f t="shared" ca="1" si="2"/>
        <v>#VALUE!</v>
      </c>
      <c r="B47" t="s">
        <v>15</v>
      </c>
      <c r="C47" s="2">
        <v>9</v>
      </c>
      <c r="D47" s="2" t="s">
        <v>180</v>
      </c>
      <c r="E47" s="2" t="s">
        <v>181</v>
      </c>
      <c r="F47" s="2" t="s">
        <v>26</v>
      </c>
      <c r="G47" t="s">
        <v>130</v>
      </c>
      <c r="H47" s="4" t="s">
        <v>131</v>
      </c>
      <c r="I47" s="3" t="s">
        <v>132</v>
      </c>
      <c r="J47" s="3" t="s">
        <v>133</v>
      </c>
      <c r="K47" t="str">
        <f t="shared" si="4"/>
        <v>(LED) End Cap: Not Sealed  - This text is for the 'I' icon.</v>
      </c>
      <c r="M47" t="s">
        <v>243</v>
      </c>
      <c r="N47" t="s">
        <v>244</v>
      </c>
      <c r="O47" t="s">
        <v>245</v>
      </c>
    </row>
    <row r="48" spans="1:15" x14ac:dyDescent="0.25">
      <c r="A48" t="e">
        <f t="shared" ca="1" si="2"/>
        <v>#VALUE!</v>
      </c>
      <c r="B48" t="s">
        <v>15</v>
      </c>
      <c r="C48" s="2">
        <v>9</v>
      </c>
      <c r="D48" s="2" t="s">
        <v>180</v>
      </c>
      <c r="E48" s="2" t="s">
        <v>181</v>
      </c>
      <c r="F48" s="2" t="s">
        <v>26</v>
      </c>
      <c r="G48" t="s">
        <v>130</v>
      </c>
      <c r="H48" t="s">
        <v>137</v>
      </c>
      <c r="I48" s="4" t="s">
        <v>138</v>
      </c>
      <c r="J48" t="s">
        <v>139</v>
      </c>
      <c r="K48" t="str">
        <f t="shared" si="4"/>
        <v>(LED) Power: Switched Supply  - This text is for the 'I' icon.</v>
      </c>
      <c r="M48" t="s">
        <v>246</v>
      </c>
      <c r="N48" t="s">
        <v>247</v>
      </c>
      <c r="O48" t="s">
        <v>248</v>
      </c>
    </row>
    <row r="49" spans="1:15" x14ac:dyDescent="0.25">
      <c r="A49" t="e">
        <f t="shared" ca="1" si="2"/>
        <v>#VALUE!</v>
      </c>
      <c r="B49" t="s">
        <v>15</v>
      </c>
      <c r="C49" s="2">
        <v>9</v>
      </c>
      <c r="D49" s="2" t="s">
        <v>180</v>
      </c>
      <c r="E49" s="2" t="s">
        <v>181</v>
      </c>
      <c r="F49" s="2" t="s">
        <v>26</v>
      </c>
      <c r="G49" t="s">
        <v>130</v>
      </c>
      <c r="H49" t="s">
        <v>143</v>
      </c>
      <c r="I49" s="3" t="s">
        <v>144</v>
      </c>
      <c r="J49" t="s">
        <v>145</v>
      </c>
      <c r="K49" t="str">
        <f t="shared" si="4"/>
        <v>(LED) Wiring: Excessive length  - This text is for the 'I' icon.</v>
      </c>
      <c r="M49" t="s">
        <v>249</v>
      </c>
      <c r="N49" t="s">
        <v>250</v>
      </c>
      <c r="O49" t="s">
        <v>251</v>
      </c>
    </row>
    <row r="50" spans="1:15" x14ac:dyDescent="0.25">
      <c r="A50" t="e">
        <f t="shared" ca="1" si="2"/>
        <v>#VALUE!</v>
      </c>
      <c r="B50" t="s">
        <v>15</v>
      </c>
      <c r="C50" s="2">
        <v>9</v>
      </c>
      <c r="D50" s="2" t="s">
        <v>180</v>
      </c>
      <c r="E50" s="2" t="s">
        <v>181</v>
      </c>
      <c r="F50" s="2" t="s">
        <v>26</v>
      </c>
      <c r="G50" t="s">
        <v>130</v>
      </c>
      <c r="H50" s="5" t="s">
        <v>149</v>
      </c>
      <c r="I50" s="3" t="s">
        <v>150</v>
      </c>
      <c r="J50" s="3" t="s">
        <v>151</v>
      </c>
      <c r="K50" t="str">
        <f t="shared" si="4"/>
        <v>(LED) Not Illuminated: Fly Killer Broken  - This text is for the 'I' icon.</v>
      </c>
      <c r="M50" t="s">
        <v>252</v>
      </c>
      <c r="N50" t="s">
        <v>253</v>
      </c>
      <c r="O50" t="s">
        <v>254</v>
      </c>
    </row>
    <row r="51" spans="1:15" x14ac:dyDescent="0.25">
      <c r="A51" t="e">
        <f t="shared" ca="1" si="2"/>
        <v>#VALUE!</v>
      </c>
      <c r="B51" t="s">
        <v>15</v>
      </c>
      <c r="C51" s="2">
        <v>9</v>
      </c>
      <c r="D51" s="2" t="s">
        <v>180</v>
      </c>
      <c r="E51" s="2" t="s">
        <v>181</v>
      </c>
      <c r="F51" s="2" t="s">
        <v>26</v>
      </c>
      <c r="G51" t="s">
        <v>130</v>
      </c>
      <c r="H51" s="5" t="s">
        <v>155</v>
      </c>
      <c r="I51" s="3" t="s">
        <v>156</v>
      </c>
      <c r="J51" s="4" t="s">
        <v>157</v>
      </c>
      <c r="K51" t="str">
        <f t="shared" si="4"/>
        <v>(LED) UV Tube: Not Working  - This text is for the 'I' icon.</v>
      </c>
      <c r="M51" t="s">
        <v>255</v>
      </c>
      <c r="N51" t="s">
        <v>256</v>
      </c>
      <c r="O51" t="s">
        <v>257</v>
      </c>
    </row>
    <row r="52" spans="1:15" x14ac:dyDescent="0.25">
      <c r="A52" t="e">
        <f t="shared" ca="1" si="2"/>
        <v>#VALUE!</v>
      </c>
      <c r="B52" t="s">
        <v>15</v>
      </c>
      <c r="C52" s="2">
        <v>9</v>
      </c>
      <c r="D52" s="2" t="s">
        <v>180</v>
      </c>
      <c r="E52" s="2" t="s">
        <v>181</v>
      </c>
      <c r="F52" s="2" t="s">
        <v>26</v>
      </c>
      <c r="G52" t="s">
        <v>130</v>
      </c>
      <c r="H52" s="5" t="s">
        <v>161</v>
      </c>
      <c r="I52" s="3" t="s">
        <v>162</v>
      </c>
      <c r="J52" s="4" t="s">
        <v>163</v>
      </c>
      <c r="K52" t="str">
        <f t="shared" si="4"/>
        <v>(LED) Unplugged: Unswitched Fused Spur Box  - This text is for the 'I' icon.</v>
      </c>
      <c r="M52" t="s">
        <v>258</v>
      </c>
      <c r="N52" t="s">
        <v>259</v>
      </c>
      <c r="O52" t="s">
        <v>260</v>
      </c>
    </row>
    <row r="53" spans="1:15" x14ac:dyDescent="0.25">
      <c r="A53" t="e">
        <f t="shared" ca="1" si="2"/>
        <v>#VALUE!</v>
      </c>
      <c r="B53" t="s">
        <v>15</v>
      </c>
      <c r="C53" s="2">
        <v>10</v>
      </c>
      <c r="D53" s="2" t="s">
        <v>180</v>
      </c>
      <c r="E53" s="2" t="s">
        <v>261</v>
      </c>
      <c r="F53" s="2" t="s">
        <v>26</v>
      </c>
      <c r="G53" t="s">
        <v>167</v>
      </c>
      <c r="H53" t="s">
        <v>168</v>
      </c>
      <c r="I53" s="4" t="s">
        <v>169</v>
      </c>
      <c r="J53" s="3" t="s">
        <v>262</v>
      </c>
      <c r="K53" t="str">
        <f t="shared" si="4"/>
        <v>(LED) Zapper Type: Replace  - This text is for the 'I' icon.</v>
      </c>
      <c r="M53" t="s">
        <v>263</v>
      </c>
      <c r="N53" t="s">
        <v>264</v>
      </c>
      <c r="O53" t="s">
        <v>265</v>
      </c>
    </row>
    <row r="54" spans="1:15" x14ac:dyDescent="0.25">
      <c r="A54" t="e">
        <f t="shared" ca="1" si="2"/>
        <v>#VALUE!</v>
      </c>
      <c r="B54" t="s">
        <v>15</v>
      </c>
      <c r="C54" s="2">
        <v>10</v>
      </c>
      <c r="D54" s="2" t="s">
        <v>180</v>
      </c>
      <c r="E54" s="2" t="s">
        <v>261</v>
      </c>
      <c r="F54" s="2" t="s">
        <v>26</v>
      </c>
      <c r="G54" t="s">
        <v>167</v>
      </c>
      <c r="H54" t="s">
        <v>174</v>
      </c>
      <c r="I54" s="3" t="s">
        <v>175</v>
      </c>
      <c r="J54" s="3" t="s">
        <v>266</v>
      </c>
      <c r="K54" t="str">
        <f t="shared" si="4"/>
        <v>(LED) Food Area: Remove  - This text is for the 'I' icon.</v>
      </c>
      <c r="M54" t="s">
        <v>267</v>
      </c>
      <c r="N54" t="s">
        <v>268</v>
      </c>
      <c r="O54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slack</dc:creator>
  <cp:lastModifiedBy>ashraf slack</cp:lastModifiedBy>
  <dcterms:created xsi:type="dcterms:W3CDTF">2026-04-14T19:45:25Z</dcterms:created>
  <dcterms:modified xsi:type="dcterms:W3CDTF">2026-04-14T19:45:43Z</dcterms:modified>
</cp:coreProperties>
</file>